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5.xml" ContentType="application/vnd.openxmlformats-officedocument.spreadsheetml.table+xml"/>
  <Override PartName="/xl/tables/table13.xml" ContentType="application/vnd.openxmlformats-officedocument.spreadsheetml.table+xml"/>
  <Override PartName="/xl/tables/table2.xml" ContentType="application/vnd.openxmlformats-officedocument.spreadsheetml.table+xml"/>
  <Override PartName="/xl/tables/table7.xml" ContentType="application/vnd.openxmlformats-officedocument.spreadsheetml.table+xml"/>
  <Override PartName="/xl/tables/table3.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8.xml" ContentType="application/vnd.openxmlformats-officedocument.spreadsheetml.table+xml"/>
  <Override PartName="/xl/tables/table1.xml" ContentType="application/vnd.openxmlformats-officedocument.spreadsheetml.table+xml"/>
  <Override PartName="/xl/tables/table9.xml" ContentType="application/vnd.openxmlformats-officedocument.spreadsheetml.table+xml"/>
  <Override PartName="/xl/tables/table6.xml" ContentType="application/vnd.openxmlformats-officedocument.spreadsheetml.table+xml"/>
  <Override PartName="/xl/tables/table4.xml" ContentType="application/vnd.openxmlformats-officedocument.spreadsheetml.table+xml"/>
  <Override PartName="/xl/tables/table10.xml" ContentType="application/vnd.openxmlformats-officedocument.spreadsheetml.table+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源" sheetId="2" state="visible" r:id="rId4"/>
    <sheet name="跨国底稿" sheetId="3" state="visible" r:id="rId5"/>
    <sheet name="描述统计" sheetId="4" state="visible" r:id="rId6"/>
    <sheet name="缺失分析" sheetId="5" state="visible" r:id="rId7"/>
    <sheet name="相关系数" sheetId="6" state="visible" r:id="rId8"/>
    <sheet name="模型结果" sheetId="7" state="visible" r:id="rId9"/>
    <sheet name="稳健性分析" sheetId="8" state="visible" r:id="rId10"/>
    <sheet name="模型输出与HC3结果" sheetId="9" state="visible" r:id="rId11"/>
    <sheet name="隐私证据矩阵" sheetId="10" state="visible" r:id="rId12"/>
    <sheet name="一致性检查" sheetId="11" state="visible" r:id="rId13"/>
    <sheet name="分析复现说明"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<sst xmlns="http://schemas.openxmlformats.org/spreadsheetml/2006/main" count="1144" uniqueCount="671">
  <si>
    <r>
      <rPr>
        <b val="true"/>
        <sz val="10"/>
        <color rgb="FFFFFFFF"/>
        <rFont val="Aptos"/>
        <family val="0"/>
        <charset val="1"/>
      </rPr>
      <t xml:space="preserve">FemTech </t>
    </r>
    <r>
      <rPr>
        <b val="true"/>
        <sz val="10"/>
        <color rgb="FFFFFFFF"/>
        <rFont val="Linux Libertine G"/>
        <family val="2"/>
      </rPr>
      <t xml:space="preserve">与生殖健康：跨国分析数据底稿（附件二）</t>
    </r>
  </si>
  <si>
    <t xml:space="preserve">两条证据链并列呈现：跨国模型检验政治体制类型与生殖健康结果的生态关联；隐私证据独立综述应用审计与执法案例。两者不合并，也不在国家层面相互连接。</t>
  </si>
  <si>
    <t xml:space="preserve">项目</t>
  </si>
  <si>
    <t xml:space="preserve">说明</t>
  </si>
  <si>
    <t xml:space="preserve">论文定位</t>
  </si>
  <si>
    <t xml:space="preserve">跨国部分仅检验政治体制类型与生殖健康结果的生态关联；隐私部分独立综述应用审计与执法证据。</t>
  </si>
  <si>
    <t xml:space="preserve">分析总体</t>
  </si>
  <si>
    <r>
      <rPr>
        <sz val="10"/>
        <rFont val="Aptos"/>
        <family val="0"/>
        <charset val="1"/>
      </rPr>
      <t xml:space="preserve">167</t>
    </r>
    <r>
      <rPr>
        <sz val="10"/>
        <rFont val="Linux Libertine G"/>
        <family val="2"/>
      </rPr>
      <t xml:space="preserve">国分析总体。</t>
    </r>
    <r>
      <rPr>
        <sz val="10"/>
        <rFont val="Aptos"/>
        <family val="0"/>
        <charset val="1"/>
      </rPr>
      <t xml:space="preserve">2023</t>
    </r>
    <r>
      <rPr>
        <sz val="10"/>
        <rFont val="Linux Libertine G"/>
        <family val="2"/>
      </rPr>
      <t xml:space="preserve">年</t>
    </r>
    <r>
      <rPr>
        <sz val="10"/>
        <rFont val="Aptos"/>
        <family val="0"/>
        <charset val="1"/>
      </rPr>
      <t xml:space="preserve">OWID</t>
    </r>
    <r>
      <rPr>
        <sz val="10"/>
        <rFont val="Linux Libertine G"/>
        <family val="2"/>
      </rPr>
      <t xml:space="preserve">存档政治体制序列无统一</t>
    </r>
    <r>
      <rPr>
        <sz val="10"/>
        <rFont val="Aptos"/>
        <family val="0"/>
        <charset val="1"/>
      </rPr>
      <t xml:space="preserve">PSE</t>
    </r>
    <r>
      <rPr>
        <sz val="10"/>
        <rFont val="Linux Libertine G"/>
        <family val="2"/>
      </rPr>
      <t xml:space="preserve">观测值，因此含政治体制的模型 </t>
    </r>
    <r>
      <rPr>
        <sz val="10"/>
        <rFont val="Aptos"/>
        <family val="0"/>
        <charset val="1"/>
      </rPr>
      <t xml:space="preserve">n=166</t>
    </r>
    <r>
      <rPr>
        <sz val="10"/>
        <rFont val="Linux Libertine G"/>
        <family val="2"/>
      </rPr>
      <t xml:space="preserve">，</t>
    </r>
    <r>
      <rPr>
        <sz val="10"/>
        <rFont val="Aptos"/>
        <family val="0"/>
        <charset val="1"/>
      </rPr>
      <t xml:space="preserve">CPR </t>
    </r>
    <r>
      <rPr>
        <sz val="10"/>
        <rFont val="Linux Libertine G"/>
        <family val="2"/>
      </rPr>
      <t xml:space="preserve">模型 </t>
    </r>
    <r>
      <rPr>
        <sz val="10"/>
        <rFont val="Aptos"/>
        <family val="0"/>
        <charset val="1"/>
      </rPr>
      <t xml:space="preserve">n=138</t>
    </r>
    <r>
      <rPr>
        <sz val="10"/>
        <rFont val="Linux Libertine G"/>
        <family val="2"/>
      </rPr>
      <t xml:space="preserve">。</t>
    </r>
  </si>
  <si>
    <t xml:space="preserve">主要规格</t>
  </si>
  <si>
    <r>
      <rPr>
        <sz val="10"/>
        <rFont val="Aptos"/>
        <family val="0"/>
        <charset val="1"/>
      </rPr>
      <t xml:space="preserve">log(MMR) ~ </t>
    </r>
    <r>
      <rPr>
        <sz val="10"/>
        <rFont val="Linux Libertine G"/>
        <family val="2"/>
      </rPr>
      <t xml:space="preserve">政治体制有序趋势 </t>
    </r>
    <r>
      <rPr>
        <sz val="10"/>
        <rFont val="Aptos"/>
        <family val="0"/>
        <charset val="1"/>
      </rPr>
      <t xml:space="preserve">+ logGDP</t>
    </r>
    <r>
      <rPr>
        <sz val="10"/>
        <rFont val="Linux Libertine G"/>
        <family val="2"/>
      </rPr>
      <t xml:space="preserve">；</t>
    </r>
    <r>
      <rPr>
        <sz val="10"/>
        <rFont val="Aptos"/>
        <family val="0"/>
        <charset val="1"/>
      </rPr>
      <t xml:space="preserve">CPR ~ </t>
    </r>
    <r>
      <rPr>
        <sz val="10"/>
        <rFont val="Linux Libertine G"/>
        <family val="2"/>
      </rPr>
      <t xml:space="preserve">政治体制有序趋势 </t>
    </r>
    <r>
      <rPr>
        <sz val="10"/>
        <rFont val="Aptos"/>
        <family val="0"/>
        <charset val="1"/>
      </rPr>
      <t xml:space="preserve">+ logGDP</t>
    </r>
    <r>
      <rPr>
        <sz val="10"/>
        <rFont val="Linux Libertine G"/>
        <family val="2"/>
      </rPr>
      <t xml:space="preserve">。</t>
    </r>
    <r>
      <rPr>
        <sz val="10"/>
        <rFont val="Aptos"/>
        <family val="0"/>
        <charset val="1"/>
      </rPr>
      <t xml:space="preserve">HC3</t>
    </r>
    <r>
      <rPr>
        <sz val="10"/>
        <rFont val="Linux Libertine G"/>
        <family val="2"/>
      </rPr>
      <t xml:space="preserve">为主要推断，经典</t>
    </r>
    <r>
      <rPr>
        <sz val="10"/>
        <rFont val="Aptos"/>
        <family val="0"/>
        <charset val="1"/>
      </rPr>
      <t xml:space="preserve">OLS</t>
    </r>
    <r>
      <rPr>
        <sz val="10"/>
        <rFont val="Linux Libertine G"/>
        <family val="2"/>
      </rPr>
      <t xml:space="preserve">并列。</t>
    </r>
  </si>
  <si>
    <t xml:space="preserve">有序假设</t>
  </si>
  <si>
    <r>
      <rPr>
        <sz val="10"/>
        <rFont val="Linux Libertine G"/>
        <family val="2"/>
      </rPr>
      <t xml:space="preserve">政治体制</t>
    </r>
    <r>
      <rPr>
        <sz val="10"/>
        <rFont val="Aptos"/>
        <family val="0"/>
        <charset val="1"/>
      </rPr>
      <t xml:space="preserve">0/1/2/3</t>
    </r>
    <r>
      <rPr>
        <sz val="10"/>
        <rFont val="Linux Libertine G"/>
        <family val="2"/>
      </rPr>
      <t xml:space="preserve">被视为等距线性趋势；三个虚拟变量模型作为放松等距假设的敏感性分析。</t>
    </r>
  </si>
  <si>
    <r>
      <rPr>
        <b val="true"/>
        <sz val="10"/>
        <color rgb="FF17365D"/>
        <rFont val="Aptos"/>
        <family val="0"/>
        <charset val="1"/>
      </rPr>
      <t xml:space="preserve">CPR</t>
    </r>
    <r>
      <rPr>
        <b val="true"/>
        <sz val="10"/>
        <color rgb="FF17365D"/>
        <rFont val="Linux Libertine G"/>
        <family val="2"/>
      </rPr>
      <t xml:space="preserve">规则</t>
    </r>
  </si>
  <si>
    <r>
      <rPr>
        <sz val="10"/>
        <rFont val="Linux Libertine G"/>
        <family val="2"/>
      </rPr>
      <t xml:space="preserve">主样本采用</t>
    </r>
    <r>
      <rPr>
        <sz val="10"/>
        <rFont val="Aptos"/>
        <family val="0"/>
        <charset val="1"/>
      </rPr>
      <t xml:space="preserve">2010–2023</t>
    </r>
    <r>
      <rPr>
        <sz val="10"/>
        <rFont val="Linux Libertine G"/>
        <family val="2"/>
      </rPr>
      <t xml:space="preserve">年最新非缺失值并逐国保留年份；另做</t>
    </r>
    <r>
      <rPr>
        <sz val="10"/>
        <rFont val="Aptos"/>
        <family val="0"/>
        <charset val="1"/>
      </rPr>
      <t xml:space="preserve">2015–2023</t>
    </r>
    <r>
      <rPr>
        <sz val="10"/>
        <rFont val="Linux Libertine G"/>
        <family val="2"/>
      </rPr>
      <t xml:space="preserve">限制样本与加入观测年份的敏感性分析。</t>
    </r>
  </si>
  <si>
    <t xml:space="preserve">缺失风险</t>
  </si>
  <si>
    <r>
      <rPr>
        <sz val="10"/>
        <rFont val="Aptos"/>
        <family val="0"/>
        <charset val="1"/>
      </rPr>
      <t xml:space="preserve">CPR</t>
    </r>
    <r>
      <rPr>
        <sz val="10"/>
        <rFont val="Linux Libertine G"/>
        <family val="2"/>
      </rPr>
      <t xml:space="preserve">缺失可能非随机，且在自由民主组集中。</t>
    </r>
    <r>
      <rPr>
        <sz val="10"/>
        <rFont val="Aptos"/>
        <family val="0"/>
        <charset val="1"/>
      </rPr>
      <t xml:space="preserve">HC3</t>
    </r>
    <r>
      <rPr>
        <sz val="10"/>
        <rFont val="Linux Libertine G"/>
        <family val="2"/>
      </rPr>
      <t xml:space="preserve">只处理异方差，不处理选择性缺失。</t>
    </r>
  </si>
  <si>
    <t xml:space="preserve">数据与版本</t>
  </si>
  <si>
    <r>
      <rPr>
        <sz val="10"/>
        <rFont val="Linux Libertine G"/>
        <family val="2"/>
      </rPr>
      <t xml:space="preserve">政治体制锁定</t>
    </r>
    <r>
      <rPr>
        <sz val="10"/>
        <rFont val="Aptos"/>
        <family val="0"/>
        <charset val="1"/>
      </rPr>
      <t xml:space="preserve">OWID 2026-08-05</t>
    </r>
    <r>
      <rPr>
        <sz val="10"/>
        <rFont val="Linux Libertine G"/>
        <family val="2"/>
      </rPr>
      <t xml:space="preserve">官方存档（</t>
    </r>
    <r>
      <rPr>
        <sz val="10"/>
        <rFont val="Aptos"/>
        <family val="0"/>
        <charset val="1"/>
      </rPr>
      <t xml:space="preserve">V-Dem v16</t>
    </r>
    <r>
      <rPr>
        <sz val="10"/>
        <rFont val="Linux Libertine G"/>
        <family val="2"/>
      </rPr>
      <t xml:space="preserve">）；</t>
    </r>
    <r>
      <rPr>
        <sz val="10"/>
        <rFont val="Aptos"/>
        <family val="0"/>
        <charset val="1"/>
      </rPr>
      <t xml:space="preserve">WDI JSON</t>
    </r>
    <r>
      <rPr>
        <sz val="10"/>
        <rFont val="Linux Libertine G"/>
        <family val="2"/>
      </rPr>
      <t xml:space="preserve">快照保留</t>
    </r>
    <r>
      <rPr>
        <sz val="10"/>
        <rFont val="Aptos"/>
        <family val="0"/>
        <charset val="1"/>
      </rPr>
      <t xml:space="preserve">SHA-256</t>
    </r>
    <r>
      <rPr>
        <sz val="10"/>
        <rFont val="Linux Libertine G"/>
        <family val="2"/>
      </rPr>
      <t xml:space="preserve">。</t>
    </r>
  </si>
  <si>
    <t xml:space="preserve">推论边界</t>
  </si>
  <si>
    <r>
      <rPr>
        <sz val="10"/>
        <rFont val="Linux Libertine G"/>
        <family val="2"/>
      </rPr>
      <t xml:space="preserve">本工作簿中的国别模型只描述政治体制类型与生殖健康结果之间的生态关联。模型未检验隐私法效应，也未建立 </t>
    </r>
    <r>
      <rPr>
        <sz val="10"/>
        <rFont val="Aptos"/>
        <family val="0"/>
        <charset val="1"/>
      </rPr>
      <t xml:space="preserve">FemTech </t>
    </r>
    <r>
      <rPr>
        <sz val="10"/>
        <rFont val="Linux Libertine G"/>
        <family val="2"/>
      </rPr>
      <t xml:space="preserve">采用或隐私事件与政治体制之间的国家层面联系。</t>
    </r>
  </si>
  <si>
    <t xml:space="preserve">数据源登记表</t>
  </si>
  <si>
    <r>
      <rPr>
        <i val="true"/>
        <sz val="10"/>
        <color rgb="FF445E68"/>
        <rFont val="Linux Libertine G"/>
        <family val="2"/>
      </rPr>
      <t xml:space="preserve">完整</t>
    </r>
    <r>
      <rPr>
        <i val="true"/>
        <sz val="10"/>
        <color rgb="FF445E68"/>
        <rFont val="Aptos"/>
        <family val="0"/>
        <charset val="1"/>
      </rPr>
      <t xml:space="preserve">URL</t>
    </r>
    <r>
      <rPr>
        <i val="true"/>
        <sz val="10"/>
        <color rgb="FF445E68"/>
        <rFont val="Linux Libertine G"/>
        <family val="2"/>
      </rPr>
      <t xml:space="preserve">、版本、日期、口径、原始文件名与</t>
    </r>
    <r>
      <rPr>
        <i val="true"/>
        <sz val="10"/>
        <color rgb="FF445E68"/>
        <rFont val="Aptos"/>
        <family val="0"/>
        <charset val="1"/>
      </rPr>
      <t xml:space="preserve">SHA-256</t>
    </r>
    <r>
      <rPr>
        <i val="true"/>
        <sz val="10"/>
        <color rgb="FF445E68"/>
        <rFont val="Linux Libertine G"/>
        <family val="2"/>
      </rPr>
      <t xml:space="preserve">均为可追溯的审计字段。</t>
    </r>
  </si>
  <si>
    <t xml:space="preserve">数据集</t>
  </si>
  <si>
    <t xml:space="preserve">来源机构</t>
  </si>
  <si>
    <r>
      <rPr>
        <b val="true"/>
        <sz val="10"/>
        <color rgb="FFFFFFFF"/>
        <rFont val="Linux Libertine G"/>
        <family val="2"/>
      </rPr>
      <t xml:space="preserve">版本</t>
    </r>
    <r>
      <rPr>
        <b val="true"/>
        <sz val="10"/>
        <color rgb="FFFFFFFF"/>
        <rFont val="Aptos"/>
        <family val="0"/>
        <charset val="1"/>
      </rPr>
      <t xml:space="preserve">/</t>
    </r>
    <r>
      <rPr>
        <b val="true"/>
        <sz val="10"/>
        <color rgb="FFFFFFFF"/>
        <rFont val="Linux Libertine G"/>
        <family val="2"/>
      </rPr>
      <t xml:space="preserve">存档</t>
    </r>
  </si>
  <si>
    <t xml:space="preserve">下载日期</t>
  </si>
  <si>
    <r>
      <rPr>
        <b val="true"/>
        <sz val="10"/>
        <color rgb="FFFFFFFF"/>
        <rFont val="Linux Libertine G"/>
        <family val="2"/>
      </rPr>
      <t xml:space="preserve">完整</t>
    </r>
    <r>
      <rPr>
        <b val="true"/>
        <sz val="10"/>
        <color rgb="FFFFFFFF"/>
        <rFont val="Aptos"/>
        <family val="0"/>
        <charset val="1"/>
      </rPr>
      <t xml:space="preserve">URL</t>
    </r>
  </si>
  <si>
    <t xml:space="preserve">查询范围</t>
  </si>
  <si>
    <t xml:space="preserve">单位</t>
  </si>
  <si>
    <t xml:space="preserve">观测年份规则</t>
  </si>
  <si>
    <t xml:space="preserve">原始文件名</t>
  </si>
  <si>
    <t xml:space="preserve">SHA-256</t>
  </si>
  <si>
    <t xml:space="preserve">Maternal mortality ratio</t>
  </si>
  <si>
    <t xml:space="preserve">World Bank, World Development Indicators</t>
  </si>
  <si>
    <t xml:space="preserve">API snapshot; last updated 2026-07-13</t>
  </si>
  <si>
    <t xml:space="preserve">2026-09-03</t>
  </si>
  <si>
    <t xml:space="preserve">https://api.worldbank.org/v2/country/all/indicator/SH.STA.MMRT?format=json&amp;per_page=20000</t>
  </si>
  <si>
    <t xml:space="preserve">All economies; latest non-missing observation in 2010-2023 for the retained 167-country analytic sample</t>
  </si>
  <si>
    <t xml:space="preserve">Maternal deaths per 100,000 live births</t>
  </si>
  <si>
    <t xml:space="preserve">Latest non-missing value, 2010-2023</t>
  </si>
  <si>
    <t xml:space="preserve">mmr.json</t>
  </si>
  <si>
    <t xml:space="preserve">d19e18021c680f5f910b13c9d9f93d4219824cc5b0f44350e1b69e8840b07c73</t>
  </si>
  <si>
    <t xml:space="preserve">GDP per capita, PPP</t>
  </si>
  <si>
    <t xml:space="preserve">https://api.worldbank.org/v2/country/all/indicator/NY.GDP.PCAP.PP.KD?format=json&amp;per_page=20000</t>
  </si>
  <si>
    <t xml:space="preserve">Constant 2021 international dollars per person</t>
  </si>
  <si>
    <t xml:space="preserve">Latest non-missing value, 2010-2023; log generated as LN(raw GDP)</t>
  </si>
  <si>
    <t xml:space="preserve">gdp.json</t>
  </si>
  <si>
    <t xml:space="preserve">c610e48829239b4b7fbdae26883093fa70f0c2e4cff6845d314beec722c7f6a5</t>
  </si>
  <si>
    <t xml:space="preserve">Contraceptive prevalence, any method</t>
  </si>
  <si>
    <t xml:space="preserve">https://api.worldbank.org/v2/country/all/indicator/SP.DYN.CONU.ZS?format=json&amp;per_page=20000</t>
  </si>
  <si>
    <t xml:space="preserve">% of married women ages 15-49</t>
  </si>
  <si>
    <t xml:space="preserve">Latest non-missing value, 2010-2023; missing retained and flagged</t>
  </si>
  <si>
    <t xml:space="preserve">cpr.json</t>
  </si>
  <si>
    <t xml:space="preserve">260237f909d0f09b84eae91b3746403ffaec82199b23c02a0669e9ff28cc76e5</t>
  </si>
  <si>
    <t xml:space="preserve">Political regime (Regimes of the World)</t>
  </si>
  <si>
    <t xml:space="preserve">V-Dem v16, processed by Our World in Data</t>
  </si>
  <si>
    <t xml:space="preserve">OWID archive 2026-08-05 14:35 UTC; source last updated 2026-03-17</t>
  </si>
  <si>
    <t xml:space="preserve">https://archive.ourworldindata.org/20260805-143540/grapher/political-regime.html</t>
  </si>
  <si>
    <t xml:space="preserve">2023 classification for the retained 167-country analytic sample</t>
  </si>
  <si>
    <t xml:space="preserve">0 closed autocracy; 1 electoral autocracy; 2 electoral democracy; 3 liberal democracy</t>
  </si>
  <si>
    <t xml:space="preserve">Fixed at 2023</t>
  </si>
  <si>
    <t xml:space="preserve">1210053.data.json + 1210053.metadata.json</t>
  </si>
  <si>
    <t xml:space="preserve">03b99952aae74eb78cdfaf600be6178eff422356e412447ad43d7f103e5bf1fd / 5b86ddda5ba7f246d1983e12e37e8628258d46eae179e88beed0d9cad822c24d</t>
  </si>
  <si>
    <r>
      <rPr>
        <sz val="11"/>
        <rFont val="Linux Libertine G"/>
        <family val="2"/>
      </rPr>
      <t xml:space="preserve">注：表中 </t>
    </r>
    <r>
      <rPr>
        <sz val="11"/>
        <rFont val="Calibri"/>
        <family val="0"/>
        <charset val="1"/>
      </rPr>
      <t xml:space="preserve">SHA-256 </t>
    </r>
    <r>
      <rPr>
        <sz val="11"/>
        <rFont val="Linux Libertine G"/>
        <family val="2"/>
      </rPr>
      <t xml:space="preserve">为按上述 </t>
    </r>
    <r>
      <rPr>
        <sz val="11"/>
        <rFont val="Calibri"/>
        <family val="0"/>
        <charset val="1"/>
      </rPr>
      <t xml:space="preserve">URL </t>
    </r>
    <r>
      <rPr>
        <sz val="11"/>
        <rFont val="Linux Libertine G"/>
        <family val="2"/>
      </rPr>
      <t xml:space="preserve">于「下载日期」抓取的原始文件（</t>
    </r>
    <r>
      <rPr>
        <sz val="11"/>
        <rFont val="Calibri"/>
        <family val="0"/>
        <charset val="1"/>
      </rPr>
      <t xml:space="preserve">WDI </t>
    </r>
    <r>
      <rPr>
        <sz val="11"/>
        <rFont val="Linux Libertine G"/>
        <family val="2"/>
      </rPr>
      <t xml:space="preserve">三个 </t>
    </r>
    <r>
      <rPr>
        <sz val="11"/>
        <rFont val="Calibri"/>
        <family val="0"/>
        <charset val="1"/>
      </rPr>
      <t xml:space="preserve">JSON </t>
    </r>
    <r>
      <rPr>
        <sz val="11"/>
        <rFont val="Linux Libertine G"/>
        <family val="2"/>
      </rPr>
      <t xml:space="preserve">与 </t>
    </r>
    <r>
      <rPr>
        <sz val="11"/>
        <rFont val="Calibri"/>
        <family val="0"/>
        <charset val="1"/>
      </rPr>
      <t xml:space="preserve">OWID </t>
    </r>
    <r>
      <rPr>
        <sz val="11"/>
        <rFont val="Linux Libertine G"/>
        <family val="2"/>
      </rPr>
      <t xml:space="preserve">政治体制数据文件）校验值。重新抓取时若源端已更新，校验值可能不同；验证需使用同日抓取的原始文件。</t>
    </r>
  </si>
  <si>
    <t xml:space="preserve">跨国逐国审计底稿</t>
  </si>
  <si>
    <r>
      <rPr>
        <i val="true"/>
        <sz val="10"/>
        <color rgb="FF445E68"/>
        <rFont val="Linux Libertine G"/>
        <family val="2"/>
      </rPr>
      <t xml:space="preserve">每行一国；黄色列为公式生成。</t>
    </r>
    <r>
      <rPr>
        <i val="true"/>
        <sz val="10"/>
        <color rgb="FF445E68"/>
        <rFont val="Aptos"/>
        <family val="0"/>
        <charset val="1"/>
      </rPr>
      <t xml:space="preserve">PSE</t>
    </r>
    <r>
      <rPr>
        <i val="true"/>
        <sz val="10"/>
        <color rgb="FF445E68"/>
        <rFont val="Linux Libertine G"/>
        <family val="2"/>
      </rPr>
      <t xml:space="preserve">保留在</t>
    </r>
    <r>
      <rPr>
        <i val="true"/>
        <sz val="10"/>
        <color rgb="FF445E68"/>
        <rFont val="Aptos"/>
        <family val="0"/>
        <charset val="1"/>
      </rPr>
      <t xml:space="preserve">167</t>
    </r>
    <r>
      <rPr>
        <i val="true"/>
        <sz val="10"/>
        <color rgb="FF445E68"/>
        <rFont val="Linux Libertine G"/>
        <family val="2"/>
      </rPr>
      <t xml:space="preserve">国审计总体中，但</t>
    </r>
    <r>
      <rPr>
        <i val="true"/>
        <sz val="10"/>
        <color rgb="FF445E68"/>
        <rFont val="Aptos"/>
        <family val="0"/>
        <charset val="1"/>
      </rPr>
      <t xml:space="preserve">2023</t>
    </r>
    <r>
      <rPr>
        <i val="true"/>
        <sz val="10"/>
        <color rgb="FF445E68"/>
        <rFont val="Linux Libertine G"/>
        <family val="2"/>
      </rPr>
      <t xml:space="preserve">年无统一政治体制观测。</t>
    </r>
  </si>
  <si>
    <t xml:space="preserve">ISO3</t>
  </si>
  <si>
    <t xml:space="preserve">国家</t>
  </si>
  <si>
    <t xml:space="preserve">MMR</t>
  </si>
  <si>
    <r>
      <rPr>
        <b val="true"/>
        <sz val="10"/>
        <color rgb="FFFFFFFF"/>
        <rFont val="Aptos"/>
        <family val="0"/>
        <charset val="1"/>
      </rPr>
      <t xml:space="preserve">MMR</t>
    </r>
    <r>
      <rPr>
        <b val="true"/>
        <sz val="10"/>
        <color rgb="FFFFFFFF"/>
        <rFont val="Linux Libertine G"/>
        <family val="2"/>
      </rPr>
      <t xml:space="preserve">年份</t>
    </r>
  </si>
  <si>
    <r>
      <rPr>
        <b val="true"/>
        <sz val="10"/>
        <color rgb="FFFFFFFF"/>
        <rFont val="Linux Libertine G"/>
        <family val="2"/>
      </rPr>
      <t xml:space="preserve">原始</t>
    </r>
    <r>
      <rPr>
        <b val="true"/>
        <sz val="10"/>
        <color rgb="FFFFFFFF"/>
        <rFont val="Aptos"/>
        <family val="0"/>
        <charset val="1"/>
      </rPr>
      <t xml:space="preserve">GDP</t>
    </r>
  </si>
  <si>
    <r>
      <rPr>
        <b val="true"/>
        <sz val="10"/>
        <color rgb="FFFFFFFF"/>
        <rFont val="Aptos"/>
        <family val="0"/>
        <charset val="1"/>
      </rPr>
      <t xml:space="preserve">GDP</t>
    </r>
    <r>
      <rPr>
        <b val="true"/>
        <sz val="10"/>
        <color rgb="FFFFFFFF"/>
        <rFont val="Linux Libertine G"/>
        <family val="2"/>
      </rPr>
      <t xml:space="preserve">年份</t>
    </r>
  </si>
  <si>
    <r>
      <rPr>
        <b val="true"/>
        <sz val="10"/>
        <color rgb="FFFFFFFF"/>
        <rFont val="Aptos"/>
        <family val="0"/>
        <charset val="1"/>
      </rPr>
      <t xml:space="preserve">logGDP</t>
    </r>
    <r>
      <rPr>
        <b val="true"/>
        <sz val="10"/>
        <color rgb="FFFFFFFF"/>
        <rFont val="Linux Libertine G"/>
        <family val="2"/>
      </rPr>
      <t xml:space="preserve">（公式）</t>
    </r>
  </si>
  <si>
    <t xml:space="preserve">政治体制代码</t>
  </si>
  <si>
    <t xml:space="preserve">文字类别</t>
  </si>
  <si>
    <t xml:space="preserve">政治体制年份</t>
  </si>
  <si>
    <t xml:space="preserve">CPR</t>
  </si>
  <si>
    <r>
      <rPr>
        <b val="true"/>
        <sz val="10"/>
        <color rgb="FFFFFFFF"/>
        <rFont val="Aptos"/>
        <family val="0"/>
        <charset val="1"/>
      </rPr>
      <t xml:space="preserve">CPR</t>
    </r>
    <r>
      <rPr>
        <b val="true"/>
        <sz val="10"/>
        <color rgb="FFFFFFFF"/>
        <rFont val="Linux Libertine G"/>
        <family val="2"/>
      </rPr>
      <t xml:space="preserve">年份</t>
    </r>
  </si>
  <si>
    <r>
      <rPr>
        <b val="true"/>
        <sz val="10"/>
        <color rgb="FFFFFFFF"/>
        <rFont val="Aptos"/>
        <family val="0"/>
        <charset val="1"/>
      </rPr>
      <t xml:space="preserve">CPR</t>
    </r>
    <r>
      <rPr>
        <b val="true"/>
        <sz val="10"/>
        <color rgb="FFFFFFFF"/>
        <rFont val="Linux Libertine G"/>
        <family val="2"/>
      </rPr>
      <t xml:space="preserve">缺失标记（公式）</t>
    </r>
  </si>
  <si>
    <r>
      <rPr>
        <b val="true"/>
        <sz val="10"/>
        <color rgb="FFFFFFFF"/>
        <rFont val="Aptos"/>
        <family val="0"/>
        <charset val="1"/>
      </rPr>
      <t xml:space="preserve">log(MMR)</t>
    </r>
    <r>
      <rPr>
        <b val="true"/>
        <sz val="10"/>
        <color rgb="FFFFFFFF"/>
        <rFont val="Linux Libertine G"/>
        <family val="2"/>
      </rPr>
      <t xml:space="preserve">（公式）</t>
    </r>
  </si>
  <si>
    <t xml:space="preserve">Regime=1</t>
  </si>
  <si>
    <t xml:space="preserve">Regime=2</t>
  </si>
  <si>
    <t xml:space="preserve">Regime=3</t>
  </si>
  <si>
    <r>
      <rPr>
        <b val="true"/>
        <sz val="10"/>
        <color rgb="FFFFFFFF"/>
        <rFont val="Aptos"/>
        <family val="0"/>
        <charset val="1"/>
      </rPr>
      <t xml:space="preserve">CPR</t>
    </r>
    <r>
      <rPr>
        <b val="true"/>
        <sz val="10"/>
        <color rgb="FFFFFFFF"/>
        <rFont val="Linux Libertine G"/>
        <family val="2"/>
      </rPr>
      <t xml:space="preserve">年份</t>
    </r>
    <r>
      <rPr>
        <b val="true"/>
        <sz val="10"/>
        <color rgb="FFFFFFFF"/>
        <rFont val="Aptos"/>
        <family val="0"/>
        <charset val="1"/>
      </rPr>
      <t xml:space="preserve">-2018</t>
    </r>
  </si>
  <si>
    <t xml:space="preserve">审计备注</t>
  </si>
  <si>
    <t xml:space="preserve">AFG</t>
  </si>
  <si>
    <t xml:space="preserve">Afghanistan</t>
  </si>
  <si>
    <t xml:space="preserve">Closed autocracy</t>
  </si>
  <si>
    <t xml:space="preserve">ALB</t>
  </si>
  <si>
    <t xml:space="preserve">Albania</t>
  </si>
  <si>
    <t xml:space="preserve">Electoral democracy</t>
  </si>
  <si>
    <t xml:space="preserve">DZA</t>
  </si>
  <si>
    <t xml:space="preserve">Algeria</t>
  </si>
  <si>
    <t xml:space="preserve">Electoral autocracy</t>
  </si>
  <si>
    <t xml:space="preserve">AGO</t>
  </si>
  <si>
    <t xml:space="preserve">Angola</t>
  </si>
  <si>
    <t xml:space="preserve">ARG</t>
  </si>
  <si>
    <t xml:space="preserve">Argentina</t>
  </si>
  <si>
    <t xml:space="preserve">ARM</t>
  </si>
  <si>
    <t xml:space="preserve">Armenia</t>
  </si>
  <si>
    <t xml:space="preserve">AUS</t>
  </si>
  <si>
    <t xml:space="preserve">Australia</t>
  </si>
  <si>
    <t xml:space="preserve">Liberal democracy</t>
  </si>
  <si>
    <t xml:space="preserve">AUT</t>
  </si>
  <si>
    <t xml:space="preserve">Austria</t>
  </si>
  <si>
    <t xml:space="preserve">AZE</t>
  </si>
  <si>
    <t xml:space="preserve">Azerbaijan</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</si>
  <si>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</si>
  <si>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</si>
  <si>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</si>
  <si>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</si>
  <si>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</si>
  <si>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</si>
  <si>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</si>
  <si>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</si>
  <si>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</si>
  <si>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</si>
  <si>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BEN</t>
  </si>
  <si>
    <t xml:space="preserve">Benin</t>
  </si>
  <si>
    <t xml:space="preserve">BTN</t>
  </si>
  <si>
    <t xml:space="preserve">Bhutan</t>
  </si>
  <si>
    <t xml:space="preserve">BOL</t>
  </si>
  <si>
    <t xml:space="preserve">Bolivia</t>
  </si>
  <si>
    <t xml:space="preserve">BIH</t>
  </si>
  <si>
    <t xml:space="preserve">Bosnia and Herzegovina</t>
  </si>
  <si>
    <t xml:space="preserve">BWA</t>
  </si>
  <si>
    <t xml:space="preserve">Botswana</t>
  </si>
  <si>
    <t xml:space="preserve">BRA</t>
  </si>
  <si>
    <t xml:space="preserve">Brazil</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</si>
  <si>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</si>
  <si>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</si>
  <si>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</si>
  <si>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</si>
  <si>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</si>
  <si>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</si>
  <si>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</si>
  <si>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</si>
  <si>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</si>
  <si>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</si>
  <si>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</si>
  <si>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</si>
  <si>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</si>
  <si>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</si>
  <si>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</si>
  <si>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</si>
  <si>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</si>
  <si>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</si>
  <si>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</si>
  <si>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</si>
  <si>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</si>
  <si>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</si>
  <si>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COL</t>
  </si>
  <si>
    <t xml:space="preserve">Colombia</t>
  </si>
  <si>
    <t xml:space="preserve">COM</t>
  </si>
  <si>
    <t xml:space="preserve">Comoros</t>
  </si>
  <si>
    <t xml:space="preserve">COD</t>
  </si>
  <si>
    <t xml:space="preserve">Congo, Dem. Rep.</t>
  </si>
  <si>
    <t xml:space="preserve">COG</t>
  </si>
  <si>
    <t xml:space="preserve">Congo, Rep.</t>
  </si>
  <si>
    <t xml:space="preserve">CRI</t>
  </si>
  <si>
    <t xml:space="preserve">Costa Rica</t>
  </si>
  <si>
    <t xml:space="preserve">CIV</t>
  </si>
  <si>
    <t xml:space="preserve">Cote d'Ivoire</t>
  </si>
  <si>
    <t xml:space="preserve">HRV</t>
  </si>
  <si>
    <t xml:space="preserve">Croatia</t>
  </si>
  <si>
    <t xml:space="preserve">CYP</t>
  </si>
  <si>
    <t xml:space="preserve">Cyprus</t>
  </si>
  <si>
    <t xml:space="preserve">CZE</t>
  </si>
  <si>
    <t xml:space="preserve">Czechia</t>
  </si>
  <si>
    <t xml:space="preserve">DNK</t>
  </si>
  <si>
    <t xml:space="preserve">Denmark</t>
  </si>
  <si>
    <t xml:space="preserve">DJI</t>
  </si>
  <si>
    <t xml:space="preserve">Djibouti</t>
  </si>
  <si>
    <t xml:space="preserve">DOM</t>
  </si>
  <si>
    <t xml:space="preserve">Dominican Republic</t>
  </si>
  <si>
    <t xml:space="preserve">ECU</t>
  </si>
  <si>
    <t xml:space="preserve">Ecuador</t>
  </si>
  <si>
    <t xml:space="preserve">EGY</t>
  </si>
  <si>
    <t xml:space="preserve">Egypt, Arab Rep.</t>
  </si>
  <si>
    <t xml:space="preserve">SLV</t>
  </si>
  <si>
    <t xml:space="preserve">El Salvador</t>
  </si>
  <si>
    <t xml:space="preserve">GNQ</t>
  </si>
  <si>
    <t xml:space="preserve">Equatorial Guinea</t>
  </si>
  <si>
    <t xml:space="preserve">EST</t>
  </si>
  <si>
    <t xml:space="preserve">Estonia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</si>
  <si>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</si>
  <si>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</si>
  <si>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</si>
  <si>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</si>
  <si>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</si>
  <si>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</si>
  <si>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</si>
  <si>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</si>
  <si>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</si>
  <si>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</si>
  <si>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GAB</t>
  </si>
  <si>
    <t xml:space="preserve">Gabon</t>
  </si>
  <si>
    <t xml:space="preserve">GMB</t>
  </si>
  <si>
    <t xml:space="preserve">Gambia, The</t>
  </si>
  <si>
    <t xml:space="preserve">GEO</t>
  </si>
  <si>
    <t xml:space="preserve">Georgia</t>
  </si>
  <si>
    <t xml:space="preserve">DEU</t>
  </si>
  <si>
    <t xml:space="preserve">Germany</t>
  </si>
  <si>
    <t xml:space="preserve">GHA</t>
  </si>
  <si>
    <t xml:space="preserve">Ghana</t>
  </si>
  <si>
    <t xml:space="preserve">GRC</t>
  </si>
  <si>
    <t xml:space="preserve">Greece</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</si>
  <si>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</si>
  <si>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</si>
  <si>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</si>
  <si>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</si>
  <si>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</si>
  <si>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</si>
  <si>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</si>
  <si>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</si>
  <si>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</si>
  <si>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</si>
  <si>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</si>
  <si>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</si>
  <si>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</si>
  <si>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</si>
  <si>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</si>
  <si>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</si>
  <si>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</si>
  <si>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</si>
  <si>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</si>
  <si>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</si>
  <si>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</si>
  <si>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t>
  </si>
  <si>
    <t xml:space="preserve">IRQ</t>
  </si>
  <si>
    <t xml:space="preserve">Iraq</t>
  </si>
  <si>
    <t xml:space="preserve">IRL</t>
  </si>
  <si>
    <t xml:space="preserve">Ireland</t>
  </si>
  <si>
    <t xml:space="preserve">ISR</t>
  </si>
  <si>
    <t xml:space="preserve">Israel</t>
  </si>
  <si>
    <t xml:space="preserve">ITA</t>
  </si>
  <si>
    <t xml:space="preserve">Italy</t>
  </si>
  <si>
    <t xml:space="preserve">JAM</t>
  </si>
  <si>
    <t xml:space="preserve">Jamaica</t>
  </si>
  <si>
    <t xml:space="preserve">JPN</t>
  </si>
  <si>
    <t xml:space="preserve">Japan</t>
  </si>
  <si>
    <t xml:space="preserve">JOR</t>
  </si>
  <si>
    <t xml:space="preserve">Jordan</t>
  </si>
  <si>
    <t xml:space="preserve">KAZ</t>
  </si>
  <si>
    <t xml:space="preserve">Kazakhstan</t>
  </si>
  <si>
    <t xml:space="preserve">KEN</t>
  </si>
  <si>
    <t xml:space="preserve">Kenya</t>
  </si>
  <si>
    <t xml:space="preserve">KOR</t>
  </si>
  <si>
    <t xml:space="preserve">Korea, Rep.</t>
  </si>
  <si>
    <t xml:space="preserve">KWT</t>
  </si>
  <si>
    <t xml:space="preserve">Kuwait</t>
  </si>
  <si>
    <t xml:space="preserve">KGZ</t>
  </si>
  <si>
    <t xml:space="preserve">Kyrgyz Republic</t>
  </si>
  <si>
    <t xml:space="preserve">LAO</t>
  </si>
  <si>
    <t xml:space="preserve">Lao PDR</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</si>
  <si>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</si>
  <si>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</si>
  <si>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</si>
  <si>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</si>
  <si>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</si>
  <si>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</si>
  <si>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</si>
  <si>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</si>
  <si>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</si>
  <si>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</si>
  <si>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LTU</t>
  </si>
  <si>
    <t xml:space="preserve">Lithuania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</si>
  <si>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</si>
  <si>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</si>
  <si>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</si>
  <si>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</si>
  <si>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</si>
  <si>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</si>
  <si>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</si>
  <si>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</si>
  <si>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</si>
  <si>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</si>
  <si>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</si>
  <si>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</si>
  <si>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</si>
  <si>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</si>
  <si>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MRT</t>
  </si>
  <si>
    <t xml:space="preserve">Mauritania</t>
  </si>
  <si>
    <t xml:space="preserve">MUS</t>
  </si>
  <si>
    <t xml:space="preserve">Mauritius</t>
  </si>
  <si>
    <t xml:space="preserve">MEX</t>
  </si>
  <si>
    <t xml:space="preserve">Mexico</t>
  </si>
  <si>
    <t xml:space="preserve">MDA</t>
  </si>
  <si>
    <t xml:space="preserve">Moldova</t>
  </si>
  <si>
    <t xml:space="preserve">MNG</t>
  </si>
  <si>
    <t xml:space="preserve">Mongolia</t>
  </si>
  <si>
    <t xml:space="preserve">MNE</t>
  </si>
  <si>
    <t xml:space="preserve">Montenegro</t>
  </si>
  <si>
    <t xml:space="preserve">MAR</t>
  </si>
  <si>
    <t xml:space="preserve">Morocco</t>
  </si>
  <si>
    <t xml:space="preserve">MOZ</t>
  </si>
  <si>
    <t xml:space="preserve">Mozambique</t>
  </si>
  <si>
    <t xml:space="preserve">Myanmar</t>
  </si>
  <si>
    <t xml:space="preserve">NAM</t>
  </si>
  <si>
    <t xml:space="preserve">Namibia</t>
  </si>
  <si>
    <t xml:space="preserve">NPL</t>
  </si>
  <si>
    <t xml:space="preserve">Nepal</t>
  </si>
  <si>
    <t xml:space="preserve">NLD</t>
  </si>
  <si>
    <t xml:space="preserve">Netherlands</t>
  </si>
  <si>
    <t xml:space="preserve">NZL</t>
  </si>
  <si>
    <t xml:space="preserve">New Zealand</t>
  </si>
  <si>
    <t xml:space="preserve">NIC</t>
  </si>
  <si>
    <t xml:space="preserve">Nicaragua</t>
  </si>
  <si>
    <t xml:space="preserve">NER</t>
  </si>
  <si>
    <t xml:space="preserve">Niger</t>
  </si>
  <si>
    <t xml:space="preserve">NGA</t>
  </si>
  <si>
    <t xml:space="preserve">Nigeria</t>
  </si>
  <si>
    <t xml:space="preserve">MKD</t>
  </si>
  <si>
    <t xml:space="preserve">North Macedonia</t>
  </si>
  <si>
    <t xml:space="preserve">NOR</t>
  </si>
  <si>
    <t xml:space="preserve">Norway</t>
  </si>
  <si>
    <t xml:space="preserve">OMN</t>
  </si>
  <si>
    <t xml:space="preserve">Oman</t>
  </si>
  <si>
    <t xml:space="preserve">PAK</t>
  </si>
  <si>
    <t xml:space="preserve">Pakistan</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</si>
  <si>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</si>
  <si>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</si>
  <si>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</si>
  <si>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</si>
  <si>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</si>
  <si>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</si>
  <si>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</si>
  <si>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</si>
  <si>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</si>
  <si>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</si>
  <si>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</si>
  <si>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</si>
  <si>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</si>
  <si>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</si>
  <si>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</si>
  <si>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</si>
  <si>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ROU</t>
  </si>
  <si>
    <t xml:space="preserve">Romania</t>
  </si>
  <si>
    <t xml:space="preserve">RUS</t>
  </si>
  <si>
    <t xml:space="preserve">Russian Federation</t>
  </si>
  <si>
    <t xml:space="preserve">RWA</t>
  </si>
  <si>
    <t xml:space="preserve">Rwanda</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</si>
  <si>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</si>
  <si>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</si>
  <si>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</si>
  <si>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</si>
  <si>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</si>
  <si>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</si>
  <si>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</si>
  <si>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</si>
  <si>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</si>
  <si>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</si>
  <si>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</si>
  <si>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</si>
  <si>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</si>
  <si>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</si>
  <si>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SVK</t>
  </si>
  <si>
    <t xml:space="preserve">Slovak Republic</t>
  </si>
  <si>
    <t xml:space="preserve">SVN</t>
  </si>
  <si>
    <t xml:space="preserve">Slovenia</t>
  </si>
  <si>
    <t xml:space="preserve">SLB</t>
  </si>
  <si>
    <t xml:space="preserve">Solomon Islands</t>
  </si>
  <si>
    <t xml:space="preserve">SOM</t>
  </si>
  <si>
    <t xml:space="preserve">Somalia, Fed. Rep.</t>
  </si>
  <si>
    <t xml:space="preserve">ZAF</t>
  </si>
  <si>
    <t xml:space="preserve">South Africa</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</si>
  <si>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</si>
  <si>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</si>
  <si>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</si>
  <si>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</si>
  <si>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</si>
  <si>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</si>
  <si>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</si>
  <si>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</si>
  <si>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</si>
  <si>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</si>
  <si>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</si>
  <si>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</si>
  <si>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</si>
  <si>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</si>
  <si>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TJK</t>
  </si>
  <si>
    <t xml:space="preserve">Tajikistan</t>
  </si>
  <si>
    <t xml:space="preserve">TZA</t>
  </si>
  <si>
    <t xml:space="preserve">Tanzania</t>
  </si>
  <si>
    <t xml:space="preserve">THA</t>
  </si>
  <si>
    <t xml:space="preserve">Thailand</t>
  </si>
  <si>
    <t xml:space="preserve">TLS</t>
  </si>
  <si>
    <t xml:space="preserve">Timor-Leste</t>
  </si>
  <si>
    <t xml:space="preserve">TGO</t>
  </si>
  <si>
    <t xml:space="preserve">Togo</t>
  </si>
  <si>
    <t xml:space="preserve">TTO</t>
  </si>
  <si>
    <t xml:space="preserve">Trinidad and Tobago</t>
  </si>
  <si>
    <t xml:space="preserve">TUN</t>
  </si>
  <si>
    <t xml:space="preserve">Tunisia</t>
  </si>
  <si>
    <t xml:space="preserve">TUR</t>
  </si>
  <si>
    <t xml:space="preserve">Turkiye</t>
  </si>
  <si>
    <t xml:space="preserve">TKM</t>
  </si>
  <si>
    <t xml:space="preserve">Turkmenistan</t>
  </si>
  <si>
    <t xml:space="preserve">UGA</t>
  </si>
  <si>
    <t xml:space="preserve">Uganda</t>
  </si>
  <si>
    <t xml:space="preserve">UKR</t>
  </si>
  <si>
    <t xml:space="preserve">Ukraine</t>
  </si>
  <si>
    <t xml:space="preserve">ARE</t>
  </si>
  <si>
    <t xml:space="preserve">United Arab Emirates</t>
  </si>
  <si>
    <t xml:space="preserve">GBR</t>
  </si>
  <si>
    <t xml:space="preserve">United Kingdom</t>
  </si>
  <si>
    <t xml:space="preserve">USA</t>
  </si>
  <si>
    <t xml:space="preserve">United States</t>
  </si>
  <si>
    <t xml:space="preserve">URY</t>
  </si>
  <si>
    <t xml:space="preserve">Uruguay</t>
  </si>
  <si>
    <t xml:space="preserve">UZB</t>
  </si>
  <si>
    <t xml:space="preserve">Uzbekistan</t>
  </si>
  <si>
    <t xml:space="preserve">VUT</t>
  </si>
  <si>
    <t xml:space="preserve">Vanuatu</t>
  </si>
  <si>
    <t xml:space="preserve">VNM</t>
  </si>
  <si>
    <t xml:space="preserve">Viet Nam</t>
  </si>
  <si>
    <t xml:space="preserve">PSE</t>
  </si>
  <si>
    <t xml:space="preserve">West Bank and Gaza</t>
  </si>
  <si>
    <t xml:space="preserve">Not available</t>
  </si>
  <si>
    <t xml:space="preserve">OWID 2023 reports Palestine/Gaza and Palestine/West Bank separately; no unified PSE regime value.</t>
  </si>
  <si>
    <t xml:space="preserve">ZMB</t>
  </si>
  <si>
    <t xml:space="preserve">Zambia</t>
  </si>
  <si>
    <t xml:space="preserve">ZWE</t>
  </si>
  <si>
    <t xml:space="preserve">Zimbabwe</t>
  </si>
  <si>
    <t xml:space="preserve">描述统计</t>
  </si>
  <si>
    <r>
      <rPr>
        <i val="true"/>
        <sz val="10"/>
        <color rgb="FF445E68"/>
        <rFont val="Linux Libertine G"/>
        <family val="2"/>
      </rPr>
      <t xml:space="preserve">所有指标直接引用“跨国底稿”；四分位数采用</t>
    </r>
    <r>
      <rPr>
        <i val="true"/>
        <sz val="10"/>
        <color rgb="FF445E68"/>
        <rFont val="Aptos"/>
        <family val="0"/>
        <charset val="1"/>
      </rPr>
      <t xml:space="preserve">QUARTILE.INC</t>
    </r>
    <r>
      <rPr>
        <i val="true"/>
        <sz val="10"/>
        <color rgb="FF445E68"/>
        <rFont val="Linux Libertine G"/>
        <family val="2"/>
      </rPr>
      <t xml:space="preserve">，</t>
    </r>
    <r>
      <rPr>
        <i val="true"/>
        <sz val="10"/>
        <color rgb="FF445E68"/>
        <rFont val="Aptos"/>
        <family val="0"/>
        <charset val="1"/>
      </rPr>
      <t xml:space="preserve">SD</t>
    </r>
    <r>
      <rPr>
        <i val="true"/>
        <sz val="10"/>
        <color rgb="FF445E68"/>
        <rFont val="Linux Libertine G"/>
        <family val="2"/>
      </rPr>
      <t xml:space="preserve">为样本标准差。</t>
    </r>
  </si>
  <si>
    <t xml:space="preserve">变量</t>
  </si>
  <si>
    <t xml:space="preserve">n</t>
  </si>
  <si>
    <t xml:space="preserve">均值</t>
  </si>
  <si>
    <t xml:space="preserve">SD</t>
  </si>
  <si>
    <t xml:space="preserve">中位数</t>
  </si>
  <si>
    <t xml:space="preserve">IQR</t>
  </si>
  <si>
    <t xml:space="preserve">最小值</t>
  </si>
  <si>
    <t xml:space="preserve">最大值</t>
  </si>
  <si>
    <t xml:space="preserve">数据列</t>
  </si>
  <si>
    <t xml:space="preserve">MMR per 100,000 live births</t>
  </si>
  <si>
    <t xml:space="preserve">mmr</t>
  </si>
  <si>
    <t xml:space="preserve">log(MMR)</t>
  </si>
  <si>
    <t xml:space="preserve">log_mmr</t>
  </si>
  <si>
    <t xml:space="preserve">GDP per capita, PPP, constant 2021 intl $</t>
  </si>
  <si>
    <t xml:space="preserve">gdp_ppp_constant_2021</t>
  </si>
  <si>
    <t xml:space="preserve">log(GDP per capita)</t>
  </si>
  <si>
    <t xml:space="preserve">log_gdp</t>
  </si>
  <si>
    <t xml:space="preserve">Political regime code (0-3)</t>
  </si>
  <si>
    <t xml:space="preserve">regime_code</t>
  </si>
  <si>
    <t xml:space="preserve">Contraceptive prevalence, any method (%)</t>
  </si>
  <si>
    <t xml:space="preserve">cpr</t>
  </si>
  <si>
    <t xml:space="preserve">CPR observation year</t>
  </si>
  <si>
    <t xml:space="preserve">cpr_year</t>
  </si>
  <si>
    <r>
      <rPr>
        <b val="true"/>
        <sz val="10"/>
        <color rgb="FFFFFFFF"/>
        <rFont val="Aptos"/>
        <family val="0"/>
        <charset val="1"/>
      </rPr>
      <t xml:space="preserve">CPR</t>
    </r>
    <r>
      <rPr>
        <b val="true"/>
        <sz val="10"/>
        <color rgb="FFFFFFFF"/>
        <rFont val="Linux Libertine G"/>
        <family val="2"/>
      </rPr>
      <t xml:space="preserve">缺失分析</t>
    </r>
  </si>
  <si>
    <r>
      <rPr>
        <i val="true"/>
        <sz val="10"/>
        <color rgb="FF445E68"/>
        <rFont val="Linux Libertine G"/>
        <family val="2"/>
      </rPr>
      <t xml:space="preserve">按政治体制类别统计；</t>
    </r>
    <r>
      <rPr>
        <i val="true"/>
        <sz val="10"/>
        <color rgb="FF445E68"/>
        <rFont val="Aptos"/>
        <family val="0"/>
        <charset val="1"/>
      </rPr>
      <t xml:space="preserve">PSE</t>
    </r>
    <r>
      <rPr>
        <i val="true"/>
        <sz val="10"/>
        <color rgb="FF445E68"/>
        <rFont val="Linux Libertine G"/>
        <family val="2"/>
      </rPr>
      <t xml:space="preserve">因统一政治体制缺失，不纳入分组率。自由民主组缺失集中是主要选择偏倚风险。</t>
    </r>
  </si>
  <si>
    <t xml:space="preserve">政治体制类别</t>
  </si>
  <si>
    <t xml:space="preserve">总数</t>
  </si>
  <si>
    <r>
      <rPr>
        <b val="true"/>
        <sz val="10"/>
        <color rgb="FFFFFFFF"/>
        <rFont val="Aptos"/>
        <family val="0"/>
        <charset val="1"/>
      </rPr>
      <t xml:space="preserve">CPR</t>
    </r>
    <r>
      <rPr>
        <b val="true"/>
        <sz val="10"/>
        <color rgb="FFFFFFFF"/>
        <rFont val="Linux Libertine G"/>
        <family val="2"/>
      </rPr>
      <t xml:space="preserve">观测数</t>
    </r>
  </si>
  <si>
    <r>
      <rPr>
        <b val="true"/>
        <sz val="10"/>
        <color rgb="FFFFFFFF"/>
        <rFont val="Aptos"/>
        <family val="0"/>
        <charset val="1"/>
      </rPr>
      <t xml:space="preserve">CPR</t>
    </r>
    <r>
      <rPr>
        <b val="true"/>
        <sz val="10"/>
        <color rgb="FFFFFFFF"/>
        <rFont val="Linux Libertine G"/>
        <family val="2"/>
      </rPr>
      <t xml:space="preserve">缺失数</t>
    </r>
  </si>
  <si>
    <t xml:space="preserve">缺失率</t>
  </si>
  <si>
    <r>
      <rPr>
        <b val="true"/>
        <sz val="10"/>
        <color rgb="FF17365D"/>
        <rFont val="Aptos"/>
        <family val="0"/>
        <charset val="1"/>
      </rPr>
      <t xml:space="preserve">CPR</t>
    </r>
    <r>
      <rPr>
        <b val="true"/>
        <sz val="10"/>
        <color rgb="FF17365D"/>
        <rFont val="Linux Libertine G"/>
        <family val="2"/>
      </rPr>
      <t xml:space="preserve">缺失国家清单</t>
    </r>
  </si>
  <si>
    <t xml:space="preserve">风险说明</t>
  </si>
  <si>
    <t xml:space="preserve">缺失可能非随机</t>
  </si>
  <si>
    <r>
      <rPr>
        <sz val="10"/>
        <rFont val="Linux Libertine G"/>
        <family val="2"/>
      </rPr>
      <t xml:space="preserve">自由民主组集中缺失；可能影响</t>
    </r>
    <r>
      <rPr>
        <sz val="10"/>
        <rFont val="Aptos"/>
        <family val="0"/>
        <charset val="1"/>
      </rPr>
      <t xml:space="preserve">CPR</t>
    </r>
    <r>
      <rPr>
        <sz val="10"/>
        <rFont val="Linux Libertine G"/>
        <family val="2"/>
      </rPr>
      <t xml:space="preserve">推断</t>
    </r>
  </si>
  <si>
    <t xml:space="preserve">双变量相关系数</t>
  </si>
  <si>
    <r>
      <rPr>
        <i val="true"/>
        <sz val="10"/>
        <color rgb="FF445E68"/>
        <rFont val="Aptos"/>
        <family val="0"/>
        <charset val="1"/>
      </rPr>
      <t xml:space="preserve">Pearson r</t>
    </r>
    <r>
      <rPr>
        <i val="true"/>
        <sz val="10"/>
        <color rgb="FF445E68"/>
        <rFont val="Linux Libertine G"/>
        <family val="2"/>
      </rPr>
      <t xml:space="preserve">；每一行都显示自己的有效样本量，不将</t>
    </r>
    <r>
      <rPr>
        <i val="true"/>
        <sz val="10"/>
        <color rgb="FF445E68"/>
        <rFont val="Aptos"/>
        <family val="0"/>
        <charset val="1"/>
      </rPr>
      <t xml:space="preserve">MMR</t>
    </r>
    <r>
      <rPr>
        <i val="true"/>
        <sz val="10"/>
        <color rgb="FF445E68"/>
        <rFont val="Linux Libertine G"/>
        <family val="2"/>
      </rPr>
      <t xml:space="preserve">与</t>
    </r>
    <r>
      <rPr>
        <i val="true"/>
        <sz val="10"/>
        <color rgb="FF445E68"/>
        <rFont val="Aptos"/>
        <family val="0"/>
        <charset val="1"/>
      </rPr>
      <t xml:space="preserve">CPR</t>
    </r>
    <r>
      <rPr>
        <i val="true"/>
        <sz val="10"/>
        <color rgb="FF445E68"/>
        <rFont val="Linux Libertine G"/>
        <family val="2"/>
      </rPr>
      <t xml:space="preserve">统一标为</t>
    </r>
    <r>
      <rPr>
        <i val="true"/>
        <sz val="10"/>
        <color rgb="FF445E68"/>
        <rFont val="Aptos"/>
        <family val="0"/>
        <charset val="1"/>
      </rPr>
      <t xml:space="preserve">n=167</t>
    </r>
    <r>
      <rPr>
        <i val="true"/>
        <sz val="10"/>
        <color rgb="FF445E68"/>
        <rFont val="Linux Libertine G"/>
        <family val="2"/>
      </rPr>
      <t xml:space="preserve">。</t>
    </r>
  </si>
  <si>
    <r>
      <rPr>
        <b val="true"/>
        <sz val="10"/>
        <color rgb="FFFFFFFF"/>
        <rFont val="Linux Libertine G"/>
        <family val="2"/>
      </rPr>
      <t xml:space="preserve">变量</t>
    </r>
    <r>
      <rPr>
        <b val="true"/>
        <sz val="10"/>
        <color rgb="FFFFFFFF"/>
        <rFont val="Aptos"/>
        <family val="0"/>
        <charset val="1"/>
      </rPr>
      <t xml:space="preserve">X</t>
    </r>
  </si>
  <si>
    <r>
      <rPr>
        <b val="true"/>
        <sz val="10"/>
        <color rgb="FFFFFFFF"/>
        <rFont val="Linux Libertine G"/>
        <family val="2"/>
      </rPr>
      <t xml:space="preserve">变量</t>
    </r>
    <r>
      <rPr>
        <b val="true"/>
        <sz val="10"/>
        <color rgb="FFFFFFFF"/>
        <rFont val="Aptos"/>
        <family val="0"/>
        <charset val="1"/>
      </rPr>
      <t xml:space="preserve">Y</t>
    </r>
  </si>
  <si>
    <t xml:space="preserve">Pearson r</t>
  </si>
  <si>
    <t xml:space="preserve">解释</t>
  </si>
  <si>
    <t xml:space="preserve">双变量梯度；不作因果解释</t>
  </si>
  <si>
    <r>
      <rPr>
        <sz val="10"/>
        <rFont val="Linux Libertine G"/>
        <family val="2"/>
      </rPr>
      <t xml:space="preserve">双变量正向梯度；</t>
    </r>
    <r>
      <rPr>
        <sz val="10"/>
        <rFont val="Aptos"/>
        <family val="0"/>
        <charset val="1"/>
      </rPr>
      <t xml:space="preserve">CPR</t>
    </r>
    <r>
      <rPr>
        <sz val="10"/>
        <rFont val="Linux Libertine G"/>
        <family val="2"/>
      </rPr>
      <t xml:space="preserve">缺失需注意</t>
    </r>
  </si>
  <si>
    <t xml:space="preserve">logGDP</t>
  </si>
  <si>
    <t xml:space="preserve">背景相关</t>
  </si>
  <si>
    <t xml:space="preserve">收入可能混杂体制与健康关联</t>
  </si>
  <si>
    <t xml:space="preserve">主要模型结果</t>
  </si>
  <si>
    <r>
      <rPr>
        <i val="true"/>
        <sz val="10"/>
        <color rgb="FF445E68"/>
        <rFont val="Aptos"/>
        <family val="0"/>
        <charset val="1"/>
      </rPr>
      <t xml:space="preserve">HC3</t>
    </r>
    <r>
      <rPr>
        <i val="true"/>
        <sz val="10"/>
        <color rgb="FF445E68"/>
        <rFont val="Linux Libertine G"/>
        <family val="2"/>
      </rPr>
      <t xml:space="preserve">为主要推断；经典</t>
    </r>
    <r>
      <rPr>
        <i val="true"/>
        <sz val="10"/>
        <color rgb="FF445E68"/>
        <rFont val="Aptos"/>
        <family val="0"/>
        <charset val="1"/>
      </rPr>
      <t xml:space="preserve">OLS</t>
    </r>
    <r>
      <rPr>
        <i val="true"/>
        <sz val="10"/>
        <color rgb="FF445E68"/>
        <rFont val="Linux Libertine G"/>
        <family val="2"/>
      </rPr>
      <t xml:space="preserve">并列。</t>
    </r>
    <r>
      <rPr>
        <i val="true"/>
        <sz val="10"/>
        <color rgb="FF445E68"/>
        <rFont val="Aptos"/>
        <family val="0"/>
        <charset val="1"/>
      </rPr>
      <t xml:space="preserve">β</t>
    </r>
    <r>
      <rPr>
        <i val="true"/>
        <sz val="10"/>
        <color rgb="FF445E68"/>
        <rFont val="Linux Libertine G"/>
        <family val="2"/>
      </rPr>
      <t xml:space="preserve">是政治体制每提高一个类别的变化，前提是</t>
    </r>
    <r>
      <rPr>
        <i val="true"/>
        <sz val="10"/>
        <color rgb="FF445E68"/>
        <rFont val="Aptos"/>
        <family val="0"/>
        <charset val="1"/>
      </rPr>
      <t xml:space="preserve">0–3</t>
    </r>
    <r>
      <rPr>
        <i val="true"/>
        <sz val="10"/>
        <color rgb="FF445E68"/>
        <rFont val="Linux Libertine G"/>
        <family val="2"/>
      </rPr>
      <t xml:space="preserve">等距趋势成立。</t>
    </r>
  </si>
  <si>
    <t xml:space="preserve">模型</t>
  </si>
  <si>
    <t xml:space="preserve">政治体制项</t>
  </si>
  <si>
    <t xml:space="preserve">df</t>
  </si>
  <si>
    <t xml:space="preserve">β</t>
  </si>
  <si>
    <r>
      <rPr>
        <b val="true"/>
        <sz val="10"/>
        <color rgb="FFFFFFFF"/>
        <rFont val="Linux Libertine G"/>
        <family val="2"/>
      </rPr>
      <t xml:space="preserve">经典</t>
    </r>
    <r>
      <rPr>
        <b val="true"/>
        <sz val="10"/>
        <color rgb="FFFFFFFF"/>
        <rFont val="Aptos"/>
        <family val="0"/>
        <charset val="1"/>
      </rPr>
      <t xml:space="preserve">SE</t>
    </r>
  </si>
  <si>
    <r>
      <rPr>
        <b val="true"/>
        <sz val="10"/>
        <color rgb="FFFFFFFF"/>
        <rFont val="Linux Libertine G"/>
        <family val="2"/>
      </rPr>
      <t xml:space="preserve">经典</t>
    </r>
    <r>
      <rPr>
        <b val="true"/>
        <sz val="10"/>
        <color rgb="FFFFFFFF"/>
        <rFont val="Aptos"/>
        <family val="0"/>
        <charset val="1"/>
      </rPr>
      <t xml:space="preserve">p</t>
    </r>
  </si>
  <si>
    <t xml:space="preserve">HC3 SE</t>
  </si>
  <si>
    <t xml:space="preserve">HC3 p</t>
  </si>
  <si>
    <r>
      <rPr>
        <b val="true"/>
        <sz val="10"/>
        <color rgb="FFFFFFFF"/>
        <rFont val="Aptos"/>
        <family val="0"/>
        <charset val="1"/>
      </rPr>
      <t xml:space="preserve">HC3 95%CI</t>
    </r>
    <r>
      <rPr>
        <b val="true"/>
        <sz val="10"/>
        <color rgb="FFFFFFFF"/>
        <rFont val="Linux Libertine G"/>
        <family val="2"/>
      </rPr>
      <t xml:space="preserve">下限</t>
    </r>
  </si>
  <si>
    <r>
      <rPr>
        <b val="true"/>
        <sz val="10"/>
        <color rgb="FFFFFFFF"/>
        <rFont val="Aptos"/>
        <family val="0"/>
        <charset val="1"/>
      </rPr>
      <t xml:space="preserve">HC3 95%CI</t>
    </r>
    <r>
      <rPr>
        <b val="true"/>
        <sz val="10"/>
        <color rgb="FFFFFFFF"/>
        <rFont val="Linux Libertine G"/>
        <family val="2"/>
      </rPr>
      <t xml:space="preserve">上限</t>
    </r>
  </si>
  <si>
    <t xml:space="preserve">R²</t>
  </si>
  <si>
    <r>
      <rPr>
        <b val="true"/>
        <sz val="10"/>
        <color rgb="FFFFFFFF"/>
        <rFont val="Linux Libertine G"/>
        <family val="2"/>
      </rPr>
      <t xml:space="preserve">调整</t>
    </r>
    <r>
      <rPr>
        <b val="true"/>
        <sz val="10"/>
        <color rgb="FFFFFFFF"/>
        <rFont val="Aptos"/>
        <family val="0"/>
        <charset val="1"/>
      </rPr>
      <t xml:space="preserve">R²</t>
    </r>
  </si>
  <si>
    <t xml:space="preserve">M1 Primary: log(MMR), ordinal regime</t>
  </si>
  <si>
    <t xml:space="preserve">M3 Primary: CPR 2010-2023 latest</t>
  </si>
  <si>
    <r>
      <rPr>
        <b val="true"/>
        <sz val="10"/>
        <color rgb="FF17365D"/>
        <rFont val="Linux Libertine G"/>
        <family val="2"/>
      </rPr>
      <t xml:space="preserve">完整参数表（包括截距和</t>
    </r>
    <r>
      <rPr>
        <b val="true"/>
        <sz val="10"/>
        <color rgb="FF17365D"/>
        <rFont val="Aptos"/>
        <family val="0"/>
        <charset val="1"/>
      </rPr>
      <t xml:space="preserve">logGDP</t>
    </r>
    <r>
      <rPr>
        <b val="true"/>
        <sz val="10"/>
        <color rgb="FF17365D"/>
        <rFont val="Linux Libertine G"/>
        <family val="2"/>
      </rPr>
      <t xml:space="preserve">）</t>
    </r>
  </si>
  <si>
    <t xml:space="preserve">模型项</t>
  </si>
  <si>
    <t xml:space="preserve">Intercept</t>
  </si>
  <si>
    <t xml:space="preserve">稳健性分析</t>
  </si>
  <si>
    <t xml:space="preserve">本表报告全部设定的敏感性规格，用于比较估计方向、大小和不确定性。</t>
  </si>
  <si>
    <t xml:space="preserve">M2 Sensitivity: raw MMR, ordinal regime</t>
  </si>
  <si>
    <t xml:space="preserve">M4 CPR + observation year</t>
  </si>
  <si>
    <t xml:space="preserve">M5 CPR restricted to 2015-2023</t>
  </si>
  <si>
    <t xml:space="preserve">M6 log(MMR), regime categorical</t>
  </si>
  <si>
    <t xml:space="preserve">regime_1</t>
  </si>
  <si>
    <t xml:space="preserve">regime_2</t>
  </si>
  <si>
    <t xml:space="preserve">regime_3</t>
  </si>
  <si>
    <t xml:space="preserve">M7 CPR, regime categorical</t>
  </si>
  <si>
    <r>
      <rPr>
        <b val="true"/>
        <sz val="10"/>
        <color rgb="FFFFFFFF"/>
        <rFont val="Aptos"/>
        <family val="0"/>
        <charset val="1"/>
      </rPr>
      <t xml:space="preserve">OLS</t>
    </r>
    <r>
      <rPr>
        <b val="true"/>
        <sz val="10"/>
        <color rgb="FFFFFFFF"/>
        <rFont val="Linux Libertine G"/>
        <family val="2"/>
      </rPr>
      <t xml:space="preserve">与</t>
    </r>
    <r>
      <rPr>
        <b val="true"/>
        <sz val="10"/>
        <color rgb="FFFFFFFF"/>
        <rFont val="Aptos"/>
        <family val="0"/>
        <charset val="1"/>
      </rPr>
      <t xml:space="preserve">HC3</t>
    </r>
    <r>
      <rPr>
        <b val="true"/>
        <sz val="10"/>
        <color rgb="FFFFFFFF"/>
        <rFont val="Linux Libertine G"/>
        <family val="2"/>
      </rPr>
      <t xml:space="preserve">完整计算记录</t>
    </r>
  </si>
  <si>
    <r>
      <rPr>
        <i val="true"/>
        <sz val="10"/>
        <color rgb="FF445E68"/>
        <rFont val="Linux Libertine G"/>
        <family val="2"/>
      </rPr>
      <t xml:space="preserve">根据逐国底稿在外部统计程序中计算；</t>
    </r>
    <r>
      <rPr>
        <i val="true"/>
        <sz val="10"/>
        <color rgb="FF445E68"/>
        <rFont val="Aptos"/>
        <family val="0"/>
        <charset val="1"/>
      </rPr>
      <t xml:space="preserve">p </t>
    </r>
    <r>
      <rPr>
        <i val="true"/>
        <sz val="10"/>
        <color rgb="FF445E68"/>
        <rFont val="Linux Libertine G"/>
        <family val="2"/>
      </rPr>
      <t xml:space="preserve">值与 </t>
    </r>
    <r>
      <rPr>
        <i val="true"/>
        <sz val="10"/>
        <color rgb="FF445E68"/>
        <rFont val="Aptos"/>
        <family val="0"/>
        <charset val="1"/>
      </rPr>
      <t xml:space="preserve">95% </t>
    </r>
    <r>
      <rPr>
        <i val="true"/>
        <sz val="10"/>
        <color rgb="FF445E68"/>
        <rFont val="Linux Libertine G"/>
        <family val="2"/>
      </rPr>
      <t xml:space="preserve">置信区间均使用有限自由度 </t>
    </r>
    <r>
      <rPr>
        <i val="true"/>
        <sz val="10"/>
        <color rgb="FF445E68"/>
        <rFont val="Aptos"/>
        <family val="0"/>
        <charset val="1"/>
      </rPr>
      <t xml:space="preserve">t </t>
    </r>
    <r>
      <rPr>
        <i val="true"/>
        <sz val="10"/>
        <color rgb="FF445E68"/>
        <rFont val="Linux Libertine G"/>
        <family val="2"/>
      </rPr>
      <t xml:space="preserve">分布。下方给出计算公式与完整输出。</t>
    </r>
  </si>
  <si>
    <t xml:space="preserve">因变量</t>
  </si>
  <si>
    <t xml:space="preserve">预测变量</t>
  </si>
  <si>
    <t xml:space="preserve">项</t>
  </si>
  <si>
    <t xml:space="preserve">k</t>
  </si>
  <si>
    <r>
      <rPr>
        <b val="true"/>
        <sz val="10"/>
        <color rgb="FFFFFFFF"/>
        <rFont val="Linux Libertine G"/>
        <family val="2"/>
      </rPr>
      <t xml:space="preserve">经典</t>
    </r>
    <r>
      <rPr>
        <b val="true"/>
        <sz val="10"/>
        <color rgb="FFFFFFFF"/>
        <rFont val="Aptos"/>
        <family val="0"/>
        <charset val="1"/>
      </rPr>
      <t xml:space="preserve">t</t>
    </r>
  </si>
  <si>
    <r>
      <rPr>
        <b val="true"/>
        <sz val="10"/>
        <color rgb="FFFFFFFF"/>
        <rFont val="Linux Libertine G"/>
        <family val="2"/>
      </rPr>
      <t xml:space="preserve">经典</t>
    </r>
    <r>
      <rPr>
        <b val="true"/>
        <sz val="10"/>
        <color rgb="FFFFFFFF"/>
        <rFont val="Aptos"/>
        <family val="0"/>
        <charset val="1"/>
      </rPr>
      <t xml:space="preserve">CI</t>
    </r>
    <r>
      <rPr>
        <b val="true"/>
        <sz val="10"/>
        <color rgb="FFFFFFFF"/>
        <rFont val="Linux Libertine G"/>
        <family val="2"/>
      </rPr>
      <t xml:space="preserve">下</t>
    </r>
  </si>
  <si>
    <r>
      <rPr>
        <b val="true"/>
        <sz val="10"/>
        <color rgb="FFFFFFFF"/>
        <rFont val="Linux Libertine G"/>
        <family val="2"/>
      </rPr>
      <t xml:space="preserve">经典</t>
    </r>
    <r>
      <rPr>
        <b val="true"/>
        <sz val="10"/>
        <color rgb="FFFFFFFF"/>
        <rFont val="Aptos"/>
        <family val="0"/>
        <charset val="1"/>
      </rPr>
      <t xml:space="preserve">CI</t>
    </r>
    <r>
      <rPr>
        <b val="true"/>
        <sz val="10"/>
        <color rgb="FFFFFFFF"/>
        <rFont val="Linux Libertine G"/>
        <family val="2"/>
      </rPr>
      <t xml:space="preserve">上</t>
    </r>
  </si>
  <si>
    <t xml:space="preserve">HC3 t</t>
  </si>
  <si>
    <r>
      <rPr>
        <b val="true"/>
        <sz val="10"/>
        <color rgb="FFFFFFFF"/>
        <rFont val="Aptos"/>
        <family val="0"/>
        <charset val="1"/>
      </rPr>
      <t xml:space="preserve">HC3 CI</t>
    </r>
    <r>
      <rPr>
        <b val="true"/>
        <sz val="10"/>
        <color rgb="FFFFFFFF"/>
        <rFont val="Linux Libertine G"/>
        <family val="2"/>
      </rPr>
      <t xml:space="preserve">下</t>
    </r>
  </si>
  <si>
    <r>
      <rPr>
        <b val="true"/>
        <sz val="10"/>
        <color rgb="FFFFFFFF"/>
        <rFont val="Aptos"/>
        <family val="0"/>
        <charset val="1"/>
      </rPr>
      <t xml:space="preserve">HC3 CI</t>
    </r>
    <r>
      <rPr>
        <b val="true"/>
        <sz val="10"/>
        <color rgb="FFFFFFFF"/>
        <rFont val="Linux Libertine G"/>
        <family val="2"/>
      </rPr>
      <t xml:space="preserve">上</t>
    </r>
  </si>
  <si>
    <t xml:space="preserve">regime_code + log_gdp</t>
  </si>
  <si>
    <t xml:space="preserve">regime_code + log_gdp + cpr_year_centered_2018</t>
  </si>
  <si>
    <t xml:space="preserve">cpr_year_centered_2018</t>
  </si>
  <si>
    <t xml:space="preserve">regime_1 + regime_2 + regime_3 + log_gdp</t>
  </si>
  <si>
    <t xml:space="preserve">HC3: (X'X)^−1 X' diag[eᵢ²/(1−hᵢᵢ)²] X (X'X)^−1. Two-sided p = 2·Pr(Tdf ≥ |t|), df = n−k. 95% CI = β ± t0.975,df·SEHC3.</t>
  </si>
  <si>
    <r>
      <rPr>
        <b val="true"/>
        <sz val="10"/>
        <color rgb="FFFFFFFF"/>
        <rFont val="Aptos"/>
        <family val="0"/>
        <charset val="1"/>
      </rPr>
      <t xml:space="preserve">FemTech</t>
    </r>
    <r>
      <rPr>
        <b val="true"/>
        <sz val="10"/>
        <color rgb="FFFFFFFF"/>
        <rFont val="Linux Libertine G"/>
        <family val="2"/>
      </rPr>
      <t xml:space="preserve">隐私证据矩阵</t>
    </r>
  </si>
  <si>
    <t xml:space="preserve">不同样本、方法和终点不合并为单一比例；每条记录保留各自的分子、分母与终点。</t>
  </si>
  <si>
    <r>
      <rPr>
        <b val="true"/>
        <sz val="10"/>
        <color rgb="FFFFFFFF"/>
        <rFont val="Linux Libertine G"/>
        <family val="2"/>
      </rPr>
      <t xml:space="preserve">来源</t>
    </r>
    <r>
      <rPr>
        <b val="true"/>
        <sz val="10"/>
        <color rgb="FFFFFFFF"/>
        <rFont val="Aptos"/>
        <family val="0"/>
        <charset val="1"/>
      </rPr>
      <t xml:space="preserve">/</t>
    </r>
    <r>
      <rPr>
        <b val="true"/>
        <sz val="10"/>
        <color rgb="FFFFFFFF"/>
        <rFont val="Linux Libertine G"/>
        <family val="2"/>
      </rPr>
      <t xml:space="preserve">案例</t>
    </r>
  </si>
  <si>
    <t xml:space="preserve">研究对象</t>
  </si>
  <si>
    <t xml:space="preserve">平台</t>
  </si>
  <si>
    <t xml:space="preserve">地区</t>
  </si>
  <si>
    <t xml:space="preserve">样本量</t>
  </si>
  <si>
    <t xml:space="preserve">分子</t>
  </si>
  <si>
    <t xml:space="preserve">分母</t>
  </si>
  <si>
    <t xml:space="preserve">实际终点</t>
  </si>
  <si>
    <t xml:space="preserve">研究方法</t>
  </si>
  <si>
    <t xml:space="preserve">证据类型</t>
  </si>
  <si>
    <t xml:space="preserve">可比性限制</t>
  </si>
  <si>
    <t xml:space="preserve">原始链接</t>
  </si>
  <si>
    <r>
      <rPr>
        <b val="true"/>
        <sz val="10"/>
        <color rgb="FFFFFFFF"/>
        <rFont val="Linux Libertine G"/>
        <family val="2"/>
      </rPr>
      <t xml:space="preserve">后续整改</t>
    </r>
    <r>
      <rPr>
        <b val="true"/>
        <sz val="10"/>
        <color rgb="FFFFFFFF"/>
        <rFont val="Aptos"/>
        <family val="0"/>
        <charset val="1"/>
      </rPr>
      <t xml:space="preserve">/</t>
    </r>
    <r>
      <rPr>
        <b val="true"/>
        <sz val="10"/>
        <color rgb="FFFFFFFF"/>
        <rFont val="Linux Libertine G"/>
        <family val="2"/>
      </rPr>
      <t xml:space="preserve">状态</t>
    </r>
  </si>
  <si>
    <t xml:space="preserve">Mozilla *Privacy Not Included* review</t>
  </si>
  <si>
    <t xml:space="preserve">20 period/pregnancy apps and 5 wearable devices</t>
  </si>
  <si>
    <t xml:space="preserve">Mobile apps and connected wearables</t>
  </si>
  <si>
    <t xml:space="preserve">Products available to US consumers</t>
  </si>
  <si>
    <t xml:space="preserve">Products assigned Mozilla's *Privacy Not Included* warning</t>
  </si>
  <si>
    <t xml:space="preserve">Desk-based product privacy/security review against Mozilla criteria</t>
  </si>
  <si>
    <t xml:space="preserve">Independent civil-society review</t>
  </si>
  <si>
    <t xml:space="preserve">Includes 5 devices; warning criteria are not equivalent to observed third-party transmission.</t>
  </si>
  <si>
    <t xml:space="preserve">https://www.mozillafoundation.org/en/blog/in-post-roe-v-wade-era-mozilla-labels-18-of-25-popular-period-and-pregnancy-tracking-tech-with-privacy-not-included-warning/</t>
  </si>
  <si>
    <t xml:space="preserve">Product-level practices may have changed after 2022; the cited page is a contemporaneous review.</t>
  </si>
  <si>
    <t xml:space="preserve">Grundy et al., BMJ (2019)</t>
  </si>
  <si>
    <t xml:space="preserve">24 medicines-related Android apps</t>
  </si>
  <si>
    <t xml:space="preserve">Android</t>
  </si>
  <si>
    <t xml:space="preserve">Apps available in four countries</t>
  </si>
  <si>
    <t xml:space="preserve">Apps sharing user data outside the app ecosystem</t>
  </si>
  <si>
    <t xml:space="preserve">Traffic analysis plus network mapping of data recipients</t>
  </si>
  <si>
    <t xml:space="preserve">Peer-reviewed empirical study</t>
  </si>
  <si>
    <t xml:space="preserve">Not a reproductive-health-app sample; endpoint differs from Mozilla's warning label.</t>
  </si>
  <si>
    <t xml:space="preserve">https://www.bmj.com/content/364/bmj.l920</t>
  </si>
  <si>
    <t xml:space="preserve">No product-level remediation assessment in this workpaper.</t>
  </si>
  <si>
    <t xml:space="preserve">FTC final order: Flo Health (2021)</t>
  </si>
  <si>
    <t xml:space="preserve">Flo period and ovulation tracking app</t>
  </si>
  <si>
    <t xml:space="preserve">Mobile app</t>
  </si>
  <si>
    <t xml:space="preserve">United States enforcement</t>
  </si>
  <si>
    <t xml:space="preserve">Alleged disclosure of sensitive health data to analytics/marketing firms contrary to privacy promises</t>
  </si>
  <si>
    <t xml:space="preserve">Regulatory investigation and consent order</t>
  </si>
  <si>
    <t xml:space="preserve">Individual enforcement case</t>
  </si>
  <si>
    <t xml:space="preserve">A case, not a prevalence estimate; cannot be pooled with audit proportions.</t>
  </si>
  <si>
    <t xml:space="preserve">https://www.ftc.gov/news-events/news/press-releases/2021/06/ftc-finalizes-order-flo-health-fertility-tracking-app-shared-sensitive-health-data-facebook-google</t>
  </si>
  <si>
    <t xml:space="preserve">Flo states that an independent privacy review required by the order was completed in March 2022.</t>
  </si>
  <si>
    <t xml:space="preserve">FTC proposed order: Premom/Easy Healthcare (2023)</t>
  </si>
  <si>
    <t xml:space="preserve">Premom ovulation tracking app</t>
  </si>
  <si>
    <t xml:space="preserve">Alleged sharing of sensitive health data; proposed order and US$100,000 civil penalty</t>
  </si>
  <si>
    <t xml:space="preserve">Regulatory investigation and proposed consent order</t>
  </si>
  <si>
    <t xml:space="preserve">https://www.ftc.gov/news-events/news/press-releases/2023/05/ovulation-tracking-app-premom-will-be-barred-sharing-health-data-advertising-under-proposed-ftc</t>
  </si>
  <si>
    <t xml:space="preserve">The workpaper does not independently verify later compliance.</t>
  </si>
  <si>
    <t xml:space="preserve">工作簿一致性检查</t>
  </si>
  <si>
    <r>
      <rPr>
        <i val="true"/>
        <sz val="10"/>
        <color rgb="FF445E68"/>
        <rFont val="Linux Libertine G"/>
        <family val="2"/>
      </rPr>
      <t xml:space="preserve">关键样本量、编码、缺失和公式错误检查；</t>
    </r>
    <r>
      <rPr>
        <i val="true"/>
        <sz val="10"/>
        <color rgb="FF445E68"/>
        <rFont val="Aptos"/>
        <family val="0"/>
        <charset val="1"/>
      </rPr>
      <t xml:space="preserve">PASS</t>
    </r>
    <r>
      <rPr>
        <i val="true"/>
        <sz val="10"/>
        <color rgb="FF445E68"/>
        <rFont val="Linux Libertine G"/>
        <family val="2"/>
      </rPr>
      <t xml:space="preserve">表示当前工作簿内部一致。</t>
    </r>
  </si>
  <si>
    <t xml:space="preserve">检查项目</t>
  </si>
  <si>
    <t xml:space="preserve">状态</t>
  </si>
  <si>
    <t xml:space="preserve">含义</t>
  </si>
  <si>
    <r>
      <rPr>
        <sz val="10"/>
        <rFont val="Linux Libertine G"/>
        <family val="2"/>
      </rPr>
      <t xml:space="preserve">逐国底稿行数</t>
    </r>
    <r>
      <rPr>
        <sz val="10"/>
        <rFont val="Aptos"/>
        <family val="0"/>
        <charset val="1"/>
      </rPr>
      <t xml:space="preserve">=167</t>
    </r>
  </si>
  <si>
    <r>
      <rPr>
        <sz val="10"/>
        <rFont val="Linux Libertine G"/>
        <family val="2"/>
      </rPr>
      <t xml:space="preserve">维持</t>
    </r>
    <r>
      <rPr>
        <sz val="10"/>
        <rFont val="Aptos"/>
        <family val="0"/>
        <charset val="1"/>
      </rPr>
      <t xml:space="preserve">167</t>
    </r>
    <r>
      <rPr>
        <sz val="10"/>
        <rFont val="Linux Libertine G"/>
        <family val="2"/>
      </rPr>
      <t xml:space="preserve">国分析总体</t>
    </r>
  </si>
  <si>
    <r>
      <rPr>
        <sz val="10"/>
        <rFont val="Aptos"/>
        <family val="0"/>
        <charset val="1"/>
      </rPr>
      <t xml:space="preserve">MMR</t>
    </r>
    <r>
      <rPr>
        <sz val="10"/>
        <rFont val="Linux Libertine G"/>
        <family val="2"/>
      </rPr>
      <t xml:space="preserve">有效</t>
    </r>
    <r>
      <rPr>
        <sz val="10"/>
        <rFont val="Aptos"/>
        <family val="0"/>
        <charset val="1"/>
      </rPr>
      <t xml:space="preserve">n=167</t>
    </r>
  </si>
  <si>
    <r>
      <rPr>
        <sz val="10"/>
        <rFont val="Aptos"/>
        <family val="0"/>
        <charset val="1"/>
      </rPr>
      <t xml:space="preserve">MMR</t>
    </r>
    <r>
      <rPr>
        <sz val="10"/>
        <rFont val="Linux Libertine G"/>
        <family val="2"/>
      </rPr>
      <t xml:space="preserve">数值完整</t>
    </r>
  </si>
  <si>
    <r>
      <rPr>
        <sz val="10"/>
        <rFont val="Linux Libertine G"/>
        <family val="2"/>
      </rPr>
      <t xml:space="preserve">政治体制有效</t>
    </r>
    <r>
      <rPr>
        <sz val="10"/>
        <rFont val="Aptos"/>
        <family val="0"/>
        <charset val="1"/>
      </rPr>
      <t xml:space="preserve">n=166</t>
    </r>
  </si>
  <si>
    <r>
      <rPr>
        <sz val="10"/>
        <rFont val="Aptos"/>
        <family val="0"/>
        <charset val="1"/>
      </rPr>
      <t xml:space="preserve">PSE</t>
    </r>
    <r>
      <rPr>
        <sz val="10"/>
        <rFont val="Linux Libertine G"/>
        <family val="2"/>
      </rPr>
      <t xml:space="preserve">统一值缺失</t>
    </r>
  </si>
  <si>
    <t xml:space="preserve">政治体制无范围外值</t>
  </si>
  <si>
    <r>
      <rPr>
        <sz val="10"/>
        <rFont val="Linux Libertine G"/>
        <family val="2"/>
      </rPr>
      <t xml:space="preserve">仅允许</t>
    </r>
    <r>
      <rPr>
        <sz val="10"/>
        <rFont val="Aptos"/>
        <family val="0"/>
        <charset val="1"/>
      </rPr>
      <t xml:space="preserve">0/1/2/3</t>
    </r>
    <r>
      <rPr>
        <sz val="10"/>
        <rFont val="Linux Libertine G"/>
        <family val="2"/>
      </rPr>
      <t xml:space="preserve">或空白</t>
    </r>
  </si>
  <si>
    <r>
      <rPr>
        <sz val="10"/>
        <rFont val="Aptos"/>
        <family val="0"/>
        <charset val="1"/>
      </rPr>
      <t xml:space="preserve">CPR</t>
    </r>
    <r>
      <rPr>
        <sz val="10"/>
        <rFont val="Linux Libertine G"/>
        <family val="2"/>
      </rPr>
      <t xml:space="preserve">有效</t>
    </r>
    <r>
      <rPr>
        <sz val="10"/>
        <rFont val="Aptos"/>
        <family val="0"/>
        <charset val="1"/>
      </rPr>
      <t xml:space="preserve">n=139</t>
    </r>
  </si>
  <si>
    <r>
      <rPr>
        <sz val="10"/>
        <rFont val="Linux Libertine G"/>
        <family val="2"/>
      </rPr>
      <t xml:space="preserve">逐国</t>
    </r>
    <r>
      <rPr>
        <sz val="10"/>
        <rFont val="Aptos"/>
        <family val="0"/>
        <charset val="1"/>
      </rPr>
      <t xml:space="preserve">CPR</t>
    </r>
    <r>
      <rPr>
        <sz val="10"/>
        <rFont val="Linux Libertine G"/>
        <family val="2"/>
      </rPr>
      <t xml:space="preserve">原始覆盖</t>
    </r>
  </si>
  <si>
    <r>
      <rPr>
        <sz val="10"/>
        <rFont val="Aptos"/>
        <family val="0"/>
        <charset val="1"/>
      </rPr>
      <t xml:space="preserve">CPR</t>
    </r>
    <r>
      <rPr>
        <sz val="10"/>
        <rFont val="Linux Libertine G"/>
        <family val="2"/>
      </rPr>
      <t xml:space="preserve">模型</t>
    </r>
    <r>
      <rPr>
        <sz val="10"/>
        <rFont val="Aptos"/>
        <family val="0"/>
        <charset val="1"/>
      </rPr>
      <t xml:space="preserve">n=138</t>
    </r>
  </si>
  <si>
    <r>
      <rPr>
        <sz val="10"/>
        <rFont val="Aptos"/>
        <family val="0"/>
        <charset val="1"/>
      </rPr>
      <t xml:space="preserve">PSE</t>
    </r>
    <r>
      <rPr>
        <sz val="10"/>
        <rFont val="Linux Libertine G"/>
        <family val="2"/>
      </rPr>
      <t xml:space="preserve">因政治体制缺失再少</t>
    </r>
    <r>
      <rPr>
        <sz val="10"/>
        <rFont val="Aptos"/>
        <family val="0"/>
        <charset val="1"/>
      </rPr>
      <t xml:space="preserve">1</t>
    </r>
    <r>
      <rPr>
        <sz val="10"/>
        <rFont val="Linux Libertine G"/>
        <family val="2"/>
      </rPr>
      <t xml:space="preserve">国</t>
    </r>
  </si>
  <si>
    <r>
      <rPr>
        <sz val="10"/>
        <rFont val="Aptos"/>
        <family val="0"/>
        <charset val="1"/>
      </rPr>
      <t xml:space="preserve">CPR</t>
    </r>
    <r>
      <rPr>
        <sz val="10"/>
        <rFont val="Linux Libertine G"/>
        <family val="2"/>
      </rPr>
      <t xml:space="preserve">缺失</t>
    </r>
    <r>
      <rPr>
        <sz val="10"/>
        <rFont val="Aptos"/>
        <family val="0"/>
        <charset val="1"/>
      </rPr>
      <t xml:space="preserve">=28</t>
    </r>
  </si>
  <si>
    <t xml:space="preserve">与刷新后的逐国表一致</t>
  </si>
  <si>
    <r>
      <rPr>
        <sz val="10"/>
        <rFont val="Aptos"/>
        <family val="0"/>
        <charset val="1"/>
      </rPr>
      <t xml:space="preserve">CPR</t>
    </r>
    <r>
      <rPr>
        <sz val="10"/>
        <rFont val="Linux Libertine G"/>
        <family val="2"/>
      </rPr>
      <t xml:space="preserve">年份</t>
    </r>
    <r>
      <rPr>
        <sz val="10"/>
        <rFont val="Aptos"/>
        <family val="0"/>
        <charset val="1"/>
      </rPr>
      <t xml:space="preserve">2010-2023</t>
    </r>
  </si>
  <si>
    <t xml:space="preserve">主样本年份规则</t>
  </si>
  <si>
    <t xml:space="preserve">无公式错误</t>
  </si>
  <si>
    <t xml:space="preserve">关键公式列</t>
  </si>
  <si>
    <t xml:space="preserve">分析复现说明</t>
  </si>
  <si>
    <r>
      <rPr>
        <sz val="11"/>
        <rFont val="Linux Libertine G"/>
        <family val="2"/>
      </rPr>
      <t xml:space="preserve">「模型结果」「稳健性分析」「模型输出与</t>
    </r>
    <r>
      <rPr>
        <sz val="11"/>
        <rFont val="Calibri"/>
        <family val="0"/>
        <charset val="1"/>
      </rPr>
      <t xml:space="preserve">HC3</t>
    </r>
    <r>
      <rPr>
        <sz val="11"/>
        <rFont val="Linux Libertine G"/>
        <family val="2"/>
      </rPr>
      <t xml:space="preserve">结果」三表的数值由外部统计程序根据「跨国底稿」计算后录入，不随逐国数据自动重算。下列代码可在任意装有 </t>
    </r>
    <r>
      <rPr>
        <sz val="11"/>
        <rFont val="Calibri"/>
        <family val="0"/>
        <charset val="1"/>
      </rPr>
      <t xml:space="preserve">NumPy </t>
    </r>
    <r>
      <rPr>
        <sz val="11"/>
        <rFont val="Linux Libertine G"/>
        <family val="2"/>
      </rPr>
      <t xml:space="preserve">的 </t>
    </r>
    <r>
      <rPr>
        <sz val="11"/>
        <rFont val="Calibri"/>
        <family val="0"/>
        <charset val="1"/>
      </rPr>
      <t xml:space="preserve">Python 3 </t>
    </r>
    <r>
      <rPr>
        <sz val="11"/>
        <rFont val="Linux Libertine G"/>
        <family val="2"/>
      </rPr>
      <t xml:space="preserve">环境中完整复现三表全部数值。</t>
    </r>
  </si>
  <si>
    <t xml:space="preserve"># Requires: Python 3, NumPy, and openpyxl. No dedicated statistical package is used.</t>
  </si>
  <si>
    <t xml:space="preserve"># p values and 95% CIs use the t distribution with finite degrees of freedom (not a normal approximation).</t>
  </si>
  <si>
    <r>
      <rPr>
        <sz val="10"/>
        <rFont val="Consolas"/>
        <family val="0"/>
        <charset val="1"/>
      </rPr>
      <t xml:space="preserve"># </t>
    </r>
    <r>
      <rPr>
        <sz val="10"/>
        <rFont val="Linux Libertine G"/>
        <family val="2"/>
      </rPr>
      <t xml:space="preserve">输入：本工作簿「跨国底稿」工作表，第 </t>
    </r>
    <r>
      <rPr>
        <sz val="10"/>
        <rFont val="Consolas"/>
        <family val="0"/>
        <charset val="1"/>
      </rPr>
      <t xml:space="preserve">5-171 </t>
    </r>
    <r>
      <rPr>
        <sz val="10"/>
        <rFont val="Linux Libertine G"/>
        <family val="2"/>
      </rPr>
      <t xml:space="preserve">行，列 </t>
    </r>
    <r>
      <rPr>
        <sz val="10"/>
        <rFont val="Consolas"/>
        <family val="0"/>
        <charset val="1"/>
      </rPr>
      <t xml:space="preserve">C=MMR</t>
    </r>
    <r>
      <rPr>
        <sz val="10"/>
        <rFont val="Linux Libertine G"/>
        <family val="2"/>
      </rPr>
      <t xml:space="preserve">、</t>
    </r>
    <r>
      <rPr>
        <sz val="10"/>
        <rFont val="Consolas"/>
        <family val="0"/>
        <charset val="1"/>
      </rPr>
      <t xml:space="preserve">E=</t>
    </r>
    <r>
      <rPr>
        <sz val="10"/>
        <rFont val="Linux Libertine G"/>
        <family val="2"/>
      </rPr>
      <t xml:space="preserve">原始</t>
    </r>
    <r>
      <rPr>
        <sz val="10"/>
        <rFont val="Consolas"/>
        <family val="0"/>
        <charset val="1"/>
      </rPr>
      <t xml:space="preserve">GDP</t>
    </r>
    <r>
      <rPr>
        <sz val="10"/>
        <rFont val="Linux Libertine G"/>
        <family val="2"/>
      </rPr>
      <t xml:space="preserve">、</t>
    </r>
    <r>
      <rPr>
        <sz val="10"/>
        <rFont val="Consolas"/>
        <family val="0"/>
        <charset val="1"/>
      </rPr>
      <t xml:space="preserve">H=</t>
    </r>
    <r>
      <rPr>
        <sz val="10"/>
        <rFont val="Linux Libertine G"/>
        <family val="2"/>
      </rPr>
      <t xml:space="preserve">政治体制代码、</t>
    </r>
    <r>
      <rPr>
        <sz val="10"/>
        <rFont val="Consolas"/>
        <family val="0"/>
        <charset val="1"/>
      </rPr>
      <t xml:space="preserve">K=CPR</t>
    </r>
    <r>
      <rPr>
        <sz val="10"/>
        <rFont val="Linux Libertine G"/>
        <family val="2"/>
      </rPr>
      <t xml:space="preserve">、</t>
    </r>
    <r>
      <rPr>
        <sz val="10"/>
        <rFont val="Consolas"/>
        <family val="0"/>
        <charset val="1"/>
      </rPr>
      <t xml:space="preserve">L=CPR</t>
    </r>
    <r>
      <rPr>
        <sz val="10"/>
        <rFont val="Linux Libertine G"/>
        <family val="2"/>
      </rPr>
      <t xml:space="preserve">年份。</t>
    </r>
  </si>
  <si>
    <r>
      <rPr>
        <sz val="10"/>
        <rFont val="Consolas"/>
        <family val="0"/>
        <charset val="1"/>
      </rPr>
      <t xml:space="preserve">#       G </t>
    </r>
    <r>
      <rPr>
        <sz val="10"/>
        <rFont val="Linux Libertine G"/>
        <family val="2"/>
      </rPr>
      <t xml:space="preserve">列 </t>
    </r>
    <r>
      <rPr>
        <sz val="10"/>
        <rFont val="Consolas"/>
        <family val="0"/>
        <charset val="1"/>
      </rPr>
      <t xml:space="preserve">logGDP = LN(E)</t>
    </r>
    <r>
      <rPr>
        <sz val="10"/>
        <rFont val="Linux Libertine G"/>
        <family val="2"/>
      </rPr>
      <t xml:space="preserve">，</t>
    </r>
    <r>
      <rPr>
        <sz val="10"/>
        <rFont val="Consolas"/>
        <family val="0"/>
        <charset val="1"/>
      </rPr>
      <t xml:space="preserve">N </t>
    </r>
    <r>
      <rPr>
        <sz val="10"/>
        <rFont val="Linux Libertine G"/>
        <family val="2"/>
      </rPr>
      <t xml:space="preserve">列 </t>
    </r>
    <r>
      <rPr>
        <sz val="10"/>
        <rFont val="Consolas"/>
        <family val="0"/>
        <charset val="1"/>
      </rPr>
      <t xml:space="preserve">log(MMR) = LN(C)</t>
    </r>
    <r>
      <rPr>
        <sz val="10"/>
        <rFont val="Linux Libertine G"/>
        <family val="2"/>
      </rPr>
      <t xml:space="preserve">，</t>
    </r>
    <r>
      <rPr>
        <sz val="10"/>
        <rFont val="Consolas"/>
        <family val="0"/>
        <charset val="1"/>
      </rPr>
      <t xml:space="preserve">O/Q/R </t>
    </r>
    <r>
      <rPr>
        <sz val="10"/>
        <rFont val="Linux Libertine G"/>
        <family val="2"/>
      </rPr>
      <t xml:space="preserve">列为派生虚拟变量（均为工作簿内公式）。</t>
    </r>
  </si>
  <si>
    <r>
      <rPr>
        <sz val="10"/>
        <rFont val="Consolas"/>
        <family val="0"/>
        <charset val="1"/>
      </rPr>
      <t xml:space="preserve"># </t>
    </r>
    <r>
      <rPr>
        <sz val="10"/>
        <rFont val="Linux Libertine G"/>
        <family val="2"/>
      </rPr>
      <t xml:space="preserve">输出：与「模型结果」「稳健性分析」「模型输出与</t>
    </r>
    <r>
      <rPr>
        <sz val="10"/>
        <rFont val="Consolas"/>
        <family val="0"/>
        <charset val="1"/>
      </rPr>
      <t xml:space="preserve">HC3</t>
    </r>
    <r>
      <rPr>
        <sz val="10"/>
        <rFont val="Linux Libertine G"/>
        <family val="2"/>
      </rPr>
      <t xml:space="preserve">结果」三表逐位一致（误差量级 </t>
    </r>
    <r>
      <rPr>
        <sz val="10"/>
        <rFont val="Consolas"/>
        <family val="0"/>
        <charset val="1"/>
      </rPr>
      <t xml:space="preserve">1e-10 </t>
    </r>
    <r>
      <rPr>
        <sz val="10"/>
        <rFont val="Linux Libertine G"/>
        <family val="2"/>
      </rPr>
      <t xml:space="preserve">以下）。</t>
    </r>
  </si>
  <si>
    <t xml:space="preserve">import numpy as np, openpyxl</t>
  </si>
  <si>
    <t xml:space="preserve">from math import lgamma, exp, log</t>
  </si>
  <si>
    <r>
      <rPr>
        <sz val="10"/>
        <rFont val="Consolas"/>
        <family val="0"/>
        <charset val="1"/>
      </rPr>
      <t xml:space="preserve"># </t>
    </r>
    <r>
      <rPr>
        <sz val="10"/>
        <rFont val="Linux Libertine G"/>
        <family val="2"/>
      </rPr>
      <t xml:space="preserve">自动定位同目录下的数据表工作簿（无需改名即可运行）</t>
    </r>
  </si>
  <si>
    <t xml:space="preserve">import glob as _glob, os as _os</t>
  </si>
  <si>
    <r>
      <rPr>
        <sz val="10"/>
        <rFont val="Consolas"/>
        <family val="0"/>
        <charset val="1"/>
      </rPr>
      <t xml:space="preserve">_cand = _glob.glob(_os.path.join(_os.path.dirname(_os.path.abspath(__file__)) or ".", "*</t>
    </r>
    <r>
      <rPr>
        <sz val="10"/>
        <rFont val="Linux Libertine G"/>
        <family val="2"/>
      </rPr>
      <t xml:space="preserve">数据表</t>
    </r>
    <r>
      <rPr>
        <sz val="10"/>
        <rFont val="Consolas"/>
        <family val="0"/>
        <charset val="1"/>
      </rPr>
      <t xml:space="preserve">*.xlsx"))</t>
    </r>
  </si>
  <si>
    <t xml:space="preserve">if not _cand:</t>
  </si>
  <si>
    <r>
      <rPr>
        <sz val="10"/>
        <rFont val="Consolas"/>
        <family val="0"/>
        <charset val="1"/>
      </rPr>
      <t xml:space="preserve">    raise SystemExit("</t>
    </r>
    <r>
      <rPr>
        <sz val="10"/>
        <rFont val="Linux Libertine G"/>
        <family val="2"/>
      </rPr>
      <t xml:space="preserve">未找到数据表工作簿（文件名需含「数据表」且为 </t>
    </r>
    <r>
      <rPr>
        <sz val="10"/>
        <rFont val="Consolas"/>
        <family val="0"/>
        <charset val="1"/>
      </rPr>
      <t xml:space="preserve">.xlsx</t>
    </r>
    <r>
      <rPr>
        <sz val="10"/>
        <rFont val="Linux Libertine G"/>
        <family val="2"/>
      </rPr>
      <t xml:space="preserve">）</t>
    </r>
    <r>
      <rPr>
        <sz val="10"/>
        <rFont val="Consolas"/>
        <family val="0"/>
        <charset val="1"/>
      </rPr>
      <t xml:space="preserve">")</t>
    </r>
  </si>
  <si>
    <t xml:space="preserve">wb = openpyxl.load_workbook(_cand[0])</t>
  </si>
  <si>
    <r>
      <rPr>
        <sz val="10"/>
        <rFont val="Consolas"/>
        <family val="0"/>
        <charset val="1"/>
      </rPr>
      <t xml:space="preserve">ws = wb["</t>
    </r>
    <r>
      <rPr>
        <sz val="10"/>
        <rFont val="Linux Libertine G"/>
        <family val="2"/>
      </rPr>
      <t xml:space="preserve">跨国底稿</t>
    </r>
    <r>
      <rPr>
        <sz val="10"/>
        <rFont val="Consolas"/>
        <family val="0"/>
        <charset val="1"/>
      </rPr>
      <t xml:space="preserve">"]</t>
    </r>
  </si>
  <si>
    <t xml:space="preserve">rows = [r for r in ws.iter_rows(min_row=5, max_row=171, values_only=True) if r and r[0]]</t>
  </si>
  <si>
    <t xml:space="preserve">D = [dict(mmr=float(r[2]), gdp=float(r[4]), code=r[7], cpr=r[10], cyear=r[11]) for r in rows]</t>
  </si>
  <si>
    <r>
      <rPr>
        <sz val="10"/>
        <rFont val="Consolas"/>
        <family val="0"/>
        <charset val="1"/>
      </rPr>
      <t xml:space="preserve">def fmt_p(p):                         # </t>
    </r>
    <r>
      <rPr>
        <sz val="10"/>
        <rFont val="Linux Libertine G"/>
        <family val="2"/>
      </rPr>
      <t xml:space="preserve">极小 </t>
    </r>
    <r>
      <rPr>
        <sz val="10"/>
        <rFont val="Consolas"/>
        <family val="0"/>
        <charset val="1"/>
      </rPr>
      <t xml:space="preserve">p </t>
    </r>
    <r>
      <rPr>
        <sz val="10"/>
        <rFont val="Linux Libertine G"/>
        <family val="2"/>
      </rPr>
      <t xml:space="preserve">值显示为 </t>
    </r>
    <r>
      <rPr>
        <sz val="10"/>
        <rFont val="Consolas"/>
        <family val="0"/>
        <charset val="1"/>
      </rPr>
      <t xml:space="preserve">&lt;0.0001</t>
    </r>
    <r>
      <rPr>
        <sz val="10"/>
        <rFont val="Linux Libertine G"/>
        <family val="2"/>
      </rPr>
      <t xml:space="preserve">，不显示为 </t>
    </r>
    <r>
      <rPr>
        <sz val="10"/>
        <rFont val="Consolas"/>
        <family val="0"/>
        <charset val="1"/>
      </rPr>
      <t xml:space="preserve">0</t>
    </r>
  </si>
  <si>
    <t xml:space="preserve">    return "&lt;0.0001" if p &lt; 1e-4 else f"{p:.4f}"</t>
  </si>
  <si>
    <r>
      <rPr>
        <sz val="10"/>
        <rFont val="Consolas"/>
        <family val="0"/>
        <charset val="1"/>
      </rPr>
      <t xml:space="preserve">def t_p(t, df):                       # </t>
    </r>
    <r>
      <rPr>
        <sz val="10"/>
        <rFont val="Linux Libertine G"/>
        <family val="2"/>
      </rPr>
      <t xml:space="preserve">双尾 </t>
    </r>
    <r>
      <rPr>
        <sz val="10"/>
        <rFont val="Consolas"/>
        <family val="0"/>
        <charset val="1"/>
      </rPr>
      <t xml:space="preserve">p</t>
    </r>
    <r>
      <rPr>
        <sz val="10"/>
        <rFont val="Linux Libertine G"/>
        <family val="2"/>
      </rPr>
      <t xml:space="preserve">，正则化不完全 </t>
    </r>
    <r>
      <rPr>
        <sz val="10"/>
        <rFont val="Consolas"/>
        <family val="0"/>
        <charset val="1"/>
      </rPr>
      <t xml:space="preserve">beta </t>
    </r>
    <r>
      <rPr>
        <sz val="10"/>
        <rFont val="Linux Libertine G"/>
        <family val="2"/>
      </rPr>
      <t xml:space="preserve">函数</t>
    </r>
  </si>
  <si>
    <t xml:space="preserve">    x = df / (df + t * t); a, b = df / 2, 0.5</t>
  </si>
  <si>
    <t xml:space="preserve">    def bcf(a, b, x, itmax=300, eps=3e-14):</t>
  </si>
  <si>
    <t xml:space="preserve">        qab, qap, qam = a + b, a + 1, a - 1</t>
  </si>
  <si>
    <t xml:space="preserve">        c = 1.0; d = 1 - qab * x / qap; d = 1 / d; h = d</t>
  </si>
  <si>
    <t xml:space="preserve">        for m in range(1, itmax + 1):</t>
  </si>
  <si>
    <t xml:space="preserve">            m2 = 2 * m</t>
  </si>
  <si>
    <t xml:space="preserve">            aa = m * (b - m) * x / ((qam + m2) * (a + m2))</t>
  </si>
  <si>
    <t xml:space="preserve">            d = 1 + aa * d; c = 1 + aa / c; d = 1 / d; h *= d * c</t>
  </si>
  <si>
    <t xml:space="preserve">            aa = -(a + m) * (qab + m) * x / ((a + m2) * (qap + m2))</t>
  </si>
  <si>
    <t xml:space="preserve">            d = 1 + aa * d; c = 1 + aa / c; d = 1 / d; de = d * c; h *= de</t>
  </si>
  <si>
    <t xml:space="preserve">            if abs(de - 1) &lt; eps: break</t>
  </si>
  <si>
    <t xml:space="preserve">        return h</t>
  </si>
  <si>
    <t xml:space="preserve">    lb = lgamma(a) + lgamma(b) - lgamma(a + b)</t>
  </si>
  <si>
    <t xml:space="preserve">    return (exp(a * log(x) + b * log(1 - x) - lb) * bcf(a, b, x) / a if x &lt; (a + 1) / (a + b + 2)</t>
  </si>
  <si>
    <t xml:space="preserve">            else 1 - exp(b * log(1 - x) + a * log(x) - lb) * bcf(b, a, 1 - x) / b)</t>
  </si>
  <si>
    <t xml:space="preserve">def ols(y, Xcols, names):</t>
  </si>
  <si>
    <t xml:space="preserve">    n = len(y); X = np.column_stack([np.ones(n)] + Xcols); k = X.shape[1]</t>
  </si>
  <si>
    <t xml:space="preserve">    XtXi = np.linalg.inv(X.T @ X); beta = XtXi @ X.T @ y</t>
  </si>
  <si>
    <t xml:space="preserve">    e = y - X @ beta; dof = n - k</t>
  </si>
  <si>
    <t xml:space="preserve">    se_ols = np.sqrt(np.diag((e @ e / dof) * XtXi))</t>
  </si>
  <si>
    <t xml:space="preserve">    h = np.diag(X @ XtXi @ X.T)</t>
  </si>
  <si>
    <r>
      <rPr>
        <sz val="10"/>
        <rFont val="Consolas"/>
        <family val="0"/>
        <charset val="1"/>
      </rPr>
      <t xml:space="preserve">    V = XtXi @ (X.T @ np.diag((e ** 2) / ((1 - h) ** 2)) @ X) @ XtXi      # HC3 </t>
    </r>
    <r>
      <rPr>
        <sz val="10"/>
        <rFont val="Linux Libertine G"/>
        <family val="2"/>
      </rPr>
      <t xml:space="preserve">三明治估计</t>
    </r>
  </si>
  <si>
    <t xml:space="preserve">    se_hc3 = np.sqrt(np.diag(V))</t>
  </si>
  <si>
    <t xml:space="preserve">    r2 = 1 - (e @ e) / ((y - y.mean()) ** 2).sum()</t>
  </si>
  <si>
    <t xml:space="preserve">    for i, nm in enumerate(names):</t>
  </si>
  <si>
    <t xml:space="preserve">        print(f"{nm:10s} beta={beta[i]:9.4f} SE={se_ols[i]:8.4f} p={fmt_p(t_p(abs(beta[i]/se_ols[i]), dof)):&gt;8} "</t>
  </si>
  <si>
    <t xml:space="preserve">              f"| HC3 SE={se_hc3[i]:8.4f} p={fmt_p(t_p(abs(beta[i]/se_hc3[i]), dof)):&gt;8}")</t>
  </si>
  <si>
    <t xml:space="preserve">    print(f"n={n} dof={dof} R2={r2:.4f} adjR2={1-(1-r2)*(n-1)/dof:.4f}")</t>
  </si>
  <si>
    <t xml:space="preserve">lg = lambda g: np.log(g)</t>
  </si>
  <si>
    <r>
      <rPr>
        <sz val="10"/>
        <rFont val="Consolas"/>
        <family val="0"/>
        <charset val="1"/>
      </rPr>
      <t xml:space="preserve"># M1 / M2</t>
    </r>
    <r>
      <rPr>
        <sz val="10"/>
        <rFont val="Linux Libertine G"/>
        <family val="2"/>
      </rPr>
      <t xml:space="preserve">：需要政治体制代码，故排除无统一 </t>
    </r>
    <r>
      <rPr>
        <sz val="10"/>
        <rFont val="Consolas"/>
        <family val="0"/>
        <charset val="1"/>
      </rPr>
      <t xml:space="preserve">2023 </t>
    </r>
    <r>
      <rPr>
        <sz val="10"/>
        <rFont val="Linux Libertine G"/>
        <family val="2"/>
      </rPr>
      <t xml:space="preserve">值的 </t>
    </r>
    <r>
      <rPr>
        <sz val="10"/>
        <rFont val="Consolas"/>
        <family val="0"/>
        <charset val="1"/>
      </rPr>
      <t xml:space="preserve">PSE</t>
    </r>
    <r>
      <rPr>
        <sz val="10"/>
        <rFont val="Linux Libertine G"/>
        <family val="2"/>
      </rPr>
      <t xml:space="preserve">（</t>
    </r>
    <r>
      <rPr>
        <sz val="10"/>
        <rFont val="Consolas"/>
        <family val="0"/>
        <charset val="1"/>
      </rPr>
      <t xml:space="preserve">n=166</t>
    </r>
    <r>
      <rPr>
        <sz val="10"/>
        <rFont val="Linux Libertine G"/>
        <family val="2"/>
      </rPr>
      <t xml:space="preserve">）</t>
    </r>
  </si>
  <si>
    <t xml:space="preserve">D_c    = [d for d in D if d["code"] is not None]</t>
  </si>
  <si>
    <t xml:space="preserve">code   = np.array([d["code"] for d in D_c], dtype=float)</t>
  </si>
  <si>
    <t xml:space="preserve">lmmr_c = np.array([np.log(d["mmr"]) for d in D_c])</t>
  </si>
  <si>
    <t xml:space="preserve">mmr_c  = np.array([d["mmr"] for d in D_c])</t>
  </si>
  <si>
    <t xml:space="preserve">lgdp_c = np.array([lg(d["gdp"]) for d in D_c])</t>
  </si>
  <si>
    <r>
      <rPr>
        <sz val="10"/>
        <rFont val="Consolas"/>
        <family val="0"/>
        <charset val="1"/>
      </rPr>
      <t xml:space="preserve">ols(lmmr_c, [code, lgdp_c], ["Intercept", "regime", "logGDP"])      # M1 </t>
    </r>
    <r>
      <rPr>
        <sz val="10"/>
        <rFont val="Linux Libertine G"/>
        <family val="2"/>
      </rPr>
      <t xml:space="preserve">主模型</t>
    </r>
  </si>
  <si>
    <r>
      <rPr>
        <sz val="10"/>
        <rFont val="Consolas"/>
        <family val="0"/>
        <charset val="1"/>
      </rPr>
      <t xml:space="preserve">ols(mmr_c,  [code, lgdp_c], ["Intercept", "regime", "logGDP"])      # M2 </t>
    </r>
    <r>
      <rPr>
        <sz val="10"/>
        <rFont val="Linux Libertine G"/>
        <family val="2"/>
      </rPr>
      <t xml:space="preserve">未取对数</t>
    </r>
  </si>
  <si>
    <r>
      <rPr>
        <sz val="10"/>
        <rFont val="Consolas"/>
        <family val="0"/>
        <charset val="1"/>
      </rPr>
      <t xml:space="preserve"># M3 / M4 / M5</t>
    </r>
    <r>
      <rPr>
        <sz val="10"/>
        <rFont val="Linux Libertine G"/>
        <family val="2"/>
      </rPr>
      <t xml:space="preserve">：</t>
    </r>
    <r>
      <rPr>
        <sz val="10"/>
        <rFont val="Consolas"/>
        <family val="0"/>
        <charset val="1"/>
      </rPr>
      <t xml:space="preserve">CPR </t>
    </r>
    <r>
      <rPr>
        <sz val="10"/>
        <rFont val="Linux Libertine G"/>
        <family val="2"/>
      </rPr>
      <t xml:space="preserve">子样本（</t>
    </r>
    <r>
      <rPr>
        <sz val="10"/>
        <rFont val="Consolas"/>
        <family val="0"/>
        <charset val="1"/>
      </rPr>
      <t xml:space="preserve">n=138</t>
    </r>
    <r>
      <rPr>
        <sz val="10"/>
        <rFont val="Linux Libertine G"/>
        <family val="2"/>
      </rPr>
      <t xml:space="preserve">；</t>
    </r>
    <r>
      <rPr>
        <sz val="10"/>
        <rFont val="Consolas"/>
        <family val="0"/>
        <charset val="1"/>
      </rPr>
      <t xml:space="preserve">M5 </t>
    </r>
    <r>
      <rPr>
        <sz val="10"/>
        <rFont val="Linux Libertine G"/>
        <family val="2"/>
      </rPr>
      <t xml:space="preserve">限 </t>
    </r>
    <r>
      <rPr>
        <sz val="10"/>
        <rFont val="Consolas"/>
        <family val="0"/>
        <charset val="1"/>
      </rPr>
      <t xml:space="preserve">2015-2023 </t>
    </r>
    <r>
      <rPr>
        <sz val="10"/>
        <rFont val="Linux Libertine G"/>
        <family val="2"/>
      </rPr>
      <t xml:space="preserve">后 </t>
    </r>
    <r>
      <rPr>
        <sz val="10"/>
        <rFont val="Consolas"/>
        <family val="0"/>
        <charset val="1"/>
      </rPr>
      <t xml:space="preserve">n=109</t>
    </r>
    <r>
      <rPr>
        <sz val="10"/>
        <rFont val="Linux Libertine G"/>
        <family val="2"/>
      </rPr>
      <t xml:space="preserve">）</t>
    </r>
  </si>
  <si>
    <t xml:space="preserve">sub  = [d for d in D if d["cpr"] is not None and d["code"] is not None]</t>
  </si>
  <si>
    <t xml:space="preserve">cpr  = np.array([d["cpr"] for d in sub])</t>
  </si>
  <si>
    <t xml:space="preserve">c_cd = np.array([d["code"] for d in sub], dtype=float)</t>
  </si>
  <si>
    <t xml:space="preserve">c_lg = np.array([lg(d["gdp"]) for d in sub])</t>
  </si>
  <si>
    <r>
      <rPr>
        <sz val="10"/>
        <rFont val="Consolas"/>
        <family val="0"/>
        <charset val="1"/>
      </rPr>
      <t xml:space="preserve">ols(cpr, [c_cd, c_lg], ["Intercept", "regime", "logGDP"])                                  # M3 </t>
    </r>
    <r>
      <rPr>
        <sz val="10"/>
        <rFont val="Linux Libertine G"/>
        <family val="2"/>
      </rPr>
      <t xml:space="preserve">主模型</t>
    </r>
  </si>
  <si>
    <t xml:space="preserve">ols(cpr, [c_cd, c_lg, np.array([d["cyear"] for d in sub], dtype=float) - 2018],</t>
  </si>
  <si>
    <r>
      <rPr>
        <sz val="10"/>
        <rFont val="Consolas"/>
        <family val="0"/>
        <charset val="1"/>
      </rPr>
      <t xml:space="preserve">         ["Intercept", "regime", "logGDP", "cpr_year_c"])                                  # M4 </t>
    </r>
    <r>
      <rPr>
        <sz val="10"/>
        <rFont val="Linux Libertine G"/>
        <family val="2"/>
      </rPr>
      <t xml:space="preserve">加观测年份</t>
    </r>
  </si>
  <si>
    <t xml:space="preserve">sub15 = [d for d in sub if d["cyear"] &gt;= 2015]</t>
  </si>
  <si>
    <t xml:space="preserve">ols(np.array([d["cpr"] for d in sub15]),</t>
  </si>
  <si>
    <t xml:space="preserve">    [np.array([d["code"] for d in sub15], dtype=float),</t>
  </si>
  <si>
    <t xml:space="preserve">     np.array([lg(d["gdp"]) for d in sub15])],</t>
  </si>
  <si>
    <r>
      <rPr>
        <sz val="10"/>
        <rFont val="Consolas"/>
        <family val="0"/>
        <charset val="1"/>
      </rPr>
      <t xml:space="preserve">    ["Intercept", "regime", "logGDP"])                                                     # M5 </t>
    </r>
    <r>
      <rPr>
        <sz val="10"/>
        <rFont val="Linux Libertine G"/>
        <family val="2"/>
      </rPr>
      <t xml:space="preserve">限制年份窗</t>
    </r>
  </si>
  <si>
    <r>
      <rPr>
        <sz val="10"/>
        <rFont val="Consolas"/>
        <family val="0"/>
        <charset val="1"/>
      </rPr>
      <t xml:space="preserve"># M6 / M7</t>
    </r>
    <r>
      <rPr>
        <sz val="10"/>
        <rFont val="Linux Libertine G"/>
        <family val="2"/>
      </rPr>
      <t xml:space="preserve">：放松等距假设，改用三个虚拟变量（参照组 </t>
    </r>
    <r>
      <rPr>
        <sz val="10"/>
        <rFont val="Consolas"/>
        <family val="0"/>
        <charset val="1"/>
      </rPr>
      <t xml:space="preserve">= </t>
    </r>
    <r>
      <rPr>
        <sz val="10"/>
        <rFont val="Linux Libertine G"/>
        <family val="2"/>
      </rPr>
      <t xml:space="preserve">封闭独裁）</t>
    </r>
  </si>
  <si>
    <t xml:space="preserve">d1 = np.array([1.0 if d["code"] == 1 else 0.0 for d in D_c])</t>
  </si>
  <si>
    <t xml:space="preserve">d2 = np.array([1.0 if d["code"] == 2 else 0.0 for d in D_c])</t>
  </si>
  <si>
    <t xml:space="preserve">d3 = np.array([1.0 if d["code"] == 3 else 0.0 for d in D_c])</t>
  </si>
  <si>
    <t xml:space="preserve">ols(lmmr_c, [d1, d2, d3, lgdp_c], ["Intercept", "regime_1", "regime_2", "regime_3", "logGDP"])  # M6</t>
  </si>
  <si>
    <t xml:space="preserve">e1 = np.array([1.0 if d["code"] == 1 else 0.0 for d in sub])</t>
  </si>
  <si>
    <t xml:space="preserve">e2 = np.array([1.0 if d["code"] == 2 else 0.0 for d in sub])</t>
  </si>
  <si>
    <t xml:space="preserve">e3 = np.array([1.0 if d["code"] == 3 else 0.0 for d in sub])</t>
  </si>
  <si>
    <t xml:space="preserve">ols(cpr, [e1, e2, e3, c_lg], ["Intercept", "regime_1", "regime_2", "regime_3", "logGDP"])      # M7</t>
  </si>
</sst>
</file>

<file path=xl/styles.xml><?xml version="1.0" encoding="utf-8"?>
<styleSheet xmlns="http://schemas.openxmlformats.org/spreadsheetml/2006/main">
  <numFmts count="11">
    <numFmt numFmtId="164" formatCode="General"/>
    <numFmt numFmtId="165" formatCode="0.0"/>
    <numFmt numFmtId="166" formatCode="#,##0.00"/>
    <numFmt numFmtId="167" formatCode="0.000000"/>
    <numFmt numFmtId="168" formatCode="0.00"/>
    <numFmt numFmtId="169" formatCode="0"/>
    <numFmt numFmtId="170" formatCode="0.000"/>
    <numFmt numFmtId="171" formatCode="0.0%"/>
    <numFmt numFmtId="172" formatCode="0.0000"/>
    <numFmt numFmtId="173" formatCode="[&lt;0.0001]&quot;&lt;0.0001&quot;;0.0000"/>
    <numFmt numFmtId="174" formatCode="[&lt;0.000001]&quot;&lt;0.000001&quot;;0.000000"/>
  </numFmts>
  <fonts count="18">
    <font>
      <sz val="10"/>
      <name val="Linux Libertine G"/>
      <family val="2"/>
    </font>
    <font>
      <sz val="10"/>
      <name val="Arial"/>
      <family val="0"/>
    </font>
    <font>
      <sz val="10"/>
      <name val="Arial"/>
      <family val="0"/>
    </font>
    <font>
      <sz val="10"/>
      <name val="Arial"/>
      <family val="0"/>
    </font>
    <font>
      <sz val="11"/>
      <name val="Calibri"/>
      <family val="0"/>
      <charset val="1"/>
    </font>
    <font>
      <b val="true"/>
      <sz val="10"/>
      <color rgb="FFFFFFFF"/>
      <name val="Aptos"/>
      <family val="0"/>
      <charset val="1"/>
    </font>
    <font>
      <b val="true"/>
      <sz val="10"/>
      <color rgb="FFFFFFFF"/>
      <name val="Linux Libertine G"/>
      <family val="2"/>
    </font>
    <font>
      <i val="true"/>
      <sz val="10"/>
      <color rgb="FF445E68"/>
      <name val="Linux Libertine G"/>
      <family val="2"/>
    </font>
    <font>
      <b val="true"/>
      <sz val="10"/>
      <color rgb="FF17365D"/>
      <name val="Linux Libertine G"/>
      <family val="2"/>
    </font>
    <font>
      <sz val="10"/>
      <name val="Aptos"/>
      <family val="0"/>
      <charset val="1"/>
    </font>
    <font>
      <b val="true"/>
      <sz val="10"/>
      <color rgb="FF17365D"/>
      <name val="Aptos"/>
      <family val="0"/>
      <charset val="1"/>
    </font>
    <font>
      <i val="true"/>
      <sz val="10"/>
      <color rgb="FF445E68"/>
      <name val="Aptos"/>
      <family val="0"/>
      <charset val="1"/>
    </font>
    <font>
      <sz val="12"/>
      <color theme="10"/>
      <name val="Calibri"/>
      <family val="2"/>
      <charset val="1"/>
    </font>
    <font>
      <sz val="11"/>
      <name val="Linux Libertine G"/>
      <family val="2"/>
    </font>
    <font>
      <i val="true"/>
      <sz val="10"/>
      <color rgb="FF17365D"/>
      <name val="Aptos"/>
      <family val="0"/>
      <charset val="1"/>
    </font>
    <font>
      <b val="true"/>
      <sz val="10"/>
      <color rgb="FF006100"/>
      <name val="Aptos"/>
      <family val="0"/>
      <charset val="1"/>
    </font>
    <font>
      <b val="true"/>
      <sz val="13"/>
      <name val="Linux Libertine G"/>
      <family val="2"/>
    </font>
    <font>
      <sz val="10"/>
      <name val="Consolas"/>
      <family val="0"/>
      <charset val="1"/>
    </font>
  </fonts>
  <fills count="7">
    <fill>
      <patternFill patternType="none"/>
    </fill>
    <fill>
      <patternFill patternType="gray125"/>
    </fill>
    <fill>
      <patternFill patternType="solid">
        <fgColor rgb="FF1F4E78"/>
        <bgColor rgb="FF156082"/>
      </patternFill>
    </fill>
    <fill>
      <patternFill patternType="solid">
        <fgColor rgb="FFEEF5F8"/>
        <bgColor rgb="FFFFFFFF"/>
      </patternFill>
    </fill>
    <fill>
      <patternFill patternType="solid">
        <fgColor rgb="FFFFF2CC"/>
        <bgColor rgb="FFE2F0D9"/>
      </patternFill>
    </fill>
    <fill>
      <patternFill patternType="solid">
        <fgColor rgb="FFD9EAF7"/>
        <bgColor rgb="FFD7E1E7"/>
      </patternFill>
    </fill>
    <fill>
      <patternFill patternType="solid">
        <fgColor rgb="FFE2F0D9"/>
        <bgColor rgb="FFD9EAF7"/>
      </patternFill>
    </fill>
  </fills>
  <borders count="3">
    <border diagonalUp="false" diagonalDown="false">
      <left/>
      <right/>
      <top/>
      <bottom/>
      <diagonal/>
    </border>
    <border diagonalUp="false" diagonalDown="false">
      <left/>
      <right/>
      <top/>
      <bottom style="thin">
        <color rgb="FFD7E1E7"/>
      </bottom>
      <diagonal/>
    </border>
    <border diagonalUp="false" diagonalDown="false">
      <left/>
      <right/>
      <top style="thin">
        <color rgb="FFD7E1E7"/>
      </top>
      <bottom style="thin">
        <color rgb="FFD7E1E7"/>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2"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1" applyFont="true" applyBorder="true" applyAlignment="true" applyProtection="false">
      <alignment horizontal="general" vertical="center" textRotation="0" wrapText="false" indent="0" shrinkToFit="false"/>
      <protection locked="true" hidden="false"/>
    </xf>
    <xf numFmtId="164" fontId="7" fillId="3" borderId="0" xfId="21" applyFont="true" applyBorder="true" applyAlignment="true" applyProtection="false">
      <alignment horizontal="general" vertical="center" textRotation="0" wrapText="true" indent="0" shrinkToFit="false"/>
      <protection locked="true" hidden="false"/>
    </xf>
    <xf numFmtId="164" fontId="0" fillId="0" borderId="0" xfId="21" applyFont="true" applyBorder="false" applyAlignment="false" applyProtection="false">
      <alignment horizontal="general" vertical="bottom" textRotation="0" wrapText="false" indent="0" shrinkToFit="false"/>
      <protection locked="true" hidden="false"/>
    </xf>
    <xf numFmtId="164" fontId="8" fillId="2" borderId="1" xfId="21" applyFont="true" applyBorder="true" applyAlignment="true" applyProtection="false">
      <alignment horizontal="center" vertical="center" textRotation="0" wrapText="true" indent="0" shrinkToFit="false"/>
      <protection locked="true" hidden="false"/>
    </xf>
    <xf numFmtId="164" fontId="6" fillId="2" borderId="1" xfId="21" applyFont="true" applyBorder="true" applyAlignment="true" applyProtection="false">
      <alignment horizontal="center" vertical="center" textRotation="0" wrapText="true" indent="0" shrinkToFit="false"/>
      <protection locked="true" hidden="false"/>
    </xf>
    <xf numFmtId="164" fontId="8" fillId="0" borderId="2" xfId="21" applyFont="true" applyBorder="true" applyAlignment="true" applyProtection="false">
      <alignment horizontal="general" vertical="center" textRotation="0" wrapText="true" indent="0" shrinkToFit="false"/>
      <protection locked="true" hidden="false"/>
    </xf>
    <xf numFmtId="164" fontId="0" fillId="0" borderId="2" xfId="21" applyFont="true" applyBorder="true" applyAlignment="true" applyProtection="false">
      <alignment horizontal="general" vertical="center" textRotation="0" wrapText="true" indent="0" shrinkToFit="false"/>
      <protection locked="true" hidden="false"/>
    </xf>
    <xf numFmtId="164" fontId="9" fillId="0" borderId="2" xfId="21" applyFont="true" applyBorder="true" applyAlignment="true" applyProtection="false">
      <alignment horizontal="general" vertical="center" textRotation="0" wrapText="true" indent="0" shrinkToFit="false"/>
      <protection locked="true" hidden="false"/>
    </xf>
    <xf numFmtId="164" fontId="10" fillId="0" borderId="2" xfId="21" applyFont="true" applyBorder="true" applyAlignment="true" applyProtection="false">
      <alignment horizontal="general" vertical="center" textRotation="0" wrapText="true" indent="0" shrinkToFit="false"/>
      <protection locked="true" hidden="false"/>
    </xf>
    <xf numFmtId="164" fontId="6" fillId="2" borderId="0" xfId="21" applyFont="true" applyBorder="true" applyAlignment="true" applyProtection="false">
      <alignment horizontal="general" vertical="center" textRotation="0" wrapText="false" indent="0" shrinkToFit="false"/>
      <protection locked="true" hidden="false"/>
    </xf>
    <xf numFmtId="164" fontId="5" fillId="2" borderId="1" xfId="21" applyFont="true" applyBorder="true" applyAlignment="true" applyProtection="false">
      <alignment horizontal="center" vertical="center" textRotation="0" wrapText="true" indent="0" shrinkToFit="false"/>
      <protection locked="true" hidden="false"/>
    </xf>
    <xf numFmtId="164" fontId="12" fillId="0" borderId="0" xfId="20" applyFont="true" applyBorder="true" applyAlignment="false" applyProtection="false">
      <alignment horizontal="general" vertical="bottom" textRotation="0" wrapText="false" indent="0" shrinkToFit="false"/>
      <protection locked="true" hidden="false"/>
    </xf>
    <xf numFmtId="164" fontId="13" fillId="0" borderId="0" xfId="21" applyFont="true" applyBorder="true" applyAlignment="true" applyProtection="false">
      <alignment horizontal="general" vertical="top" textRotation="0" wrapText="true" indent="0" shrinkToFit="false"/>
      <protection locked="true" hidden="false"/>
    </xf>
    <xf numFmtId="164" fontId="9" fillId="0" borderId="2" xfId="21" applyFont="true" applyBorder="true" applyAlignment="true" applyProtection="false">
      <alignment horizontal="general" vertical="center" textRotation="0" wrapText="false" indent="0" shrinkToFit="false"/>
      <protection locked="true" hidden="false"/>
    </xf>
    <xf numFmtId="165" fontId="9" fillId="0" borderId="2" xfId="21" applyFont="true" applyBorder="true" applyAlignment="true" applyProtection="false">
      <alignment horizontal="general" vertical="center" textRotation="0" wrapText="false" indent="0" shrinkToFit="false"/>
      <protection locked="true" hidden="false"/>
    </xf>
    <xf numFmtId="166" fontId="9" fillId="0" borderId="2" xfId="21" applyFont="true" applyBorder="true" applyAlignment="true" applyProtection="false">
      <alignment horizontal="general" vertical="center" textRotation="0" wrapText="false" indent="0" shrinkToFit="false"/>
      <protection locked="true" hidden="false"/>
    </xf>
    <xf numFmtId="167" fontId="9" fillId="4" borderId="2" xfId="21" applyFont="true" applyBorder="true" applyAlignment="true" applyProtection="false">
      <alignment horizontal="general" vertical="center" textRotation="0" wrapText="false" indent="0" shrinkToFit="false"/>
      <protection locked="true" hidden="false"/>
    </xf>
    <xf numFmtId="168" fontId="9" fillId="0" borderId="2" xfId="21" applyFont="true" applyBorder="true" applyAlignment="true" applyProtection="false">
      <alignment horizontal="general" vertical="center" textRotation="0" wrapText="false" indent="0" shrinkToFit="false"/>
      <protection locked="true" hidden="false"/>
    </xf>
    <xf numFmtId="164" fontId="9" fillId="4" borderId="2" xfId="21" applyFont="true" applyBorder="true" applyAlignment="true" applyProtection="false">
      <alignment horizontal="general" vertical="center" textRotation="0" wrapText="false" indent="0" shrinkToFit="false"/>
      <protection locked="true" hidden="false"/>
    </xf>
    <xf numFmtId="169" fontId="9" fillId="0" borderId="2" xfId="21" applyFont="true" applyBorder="true" applyAlignment="true" applyProtection="false">
      <alignment horizontal="general" vertical="center" textRotation="0" wrapText="true" indent="0" shrinkToFit="false"/>
      <protection locked="true" hidden="false"/>
    </xf>
    <xf numFmtId="170" fontId="9" fillId="0" borderId="2" xfId="21" applyFont="true" applyBorder="true" applyAlignment="true" applyProtection="false">
      <alignment horizontal="general" vertical="center" textRotation="0" wrapText="true" indent="0" shrinkToFit="false"/>
      <protection locked="true" hidden="false"/>
    </xf>
    <xf numFmtId="171" fontId="9" fillId="0" borderId="2" xfId="21" applyFont="true" applyBorder="true" applyAlignment="true" applyProtection="false">
      <alignment horizontal="general" vertical="center" textRotation="0" wrapText="true" indent="0" shrinkToFit="false"/>
      <protection locked="true" hidden="false"/>
    </xf>
    <xf numFmtId="164" fontId="10" fillId="5" borderId="0" xfId="21" applyFont="true" applyBorder="true" applyAlignment="false" applyProtection="false">
      <alignment horizontal="general" vertical="bottom" textRotation="0" wrapText="false" indent="0" shrinkToFit="false"/>
      <protection locked="true" hidden="false"/>
    </xf>
    <xf numFmtId="164" fontId="11" fillId="3" borderId="0" xfId="21" applyFont="true" applyBorder="true" applyAlignment="true" applyProtection="false">
      <alignment horizontal="general" vertical="center" textRotation="0" wrapText="true" indent="0" shrinkToFit="false"/>
      <protection locked="true" hidden="false"/>
    </xf>
    <xf numFmtId="172" fontId="9" fillId="0" borderId="2" xfId="21" applyFont="true" applyBorder="true" applyAlignment="true" applyProtection="false">
      <alignment horizontal="general" vertical="center" textRotation="0" wrapText="true" indent="0" shrinkToFit="false"/>
      <protection locked="true" hidden="false"/>
    </xf>
    <xf numFmtId="173" fontId="9" fillId="0" borderId="2" xfId="21" applyFont="true" applyBorder="true" applyAlignment="true" applyProtection="false">
      <alignment horizontal="general" vertical="center" textRotation="0" wrapText="true" indent="0" shrinkToFit="false"/>
      <protection locked="true" hidden="false"/>
    </xf>
    <xf numFmtId="172" fontId="0" fillId="0" borderId="0" xfId="21" applyFont="true" applyBorder="false" applyAlignment="false" applyProtection="false">
      <alignment horizontal="general" vertical="bottom" textRotation="0" wrapText="false" indent="0" shrinkToFit="false"/>
      <protection locked="true" hidden="false"/>
    </xf>
    <xf numFmtId="173" fontId="0" fillId="0" borderId="0" xfId="21" applyFont="true" applyBorder="false" applyAlignment="false" applyProtection="false">
      <alignment horizontal="general" vertical="bottom" textRotation="0" wrapText="false" indent="0" shrinkToFit="false"/>
      <protection locked="true" hidden="false"/>
    </xf>
    <xf numFmtId="164" fontId="8" fillId="5" borderId="0" xfId="21" applyFont="true" applyBorder="true" applyAlignment="false" applyProtection="false">
      <alignment horizontal="general" vertical="bottom" textRotation="0" wrapText="false" indent="0" shrinkToFit="false"/>
      <protection locked="true" hidden="false"/>
    </xf>
    <xf numFmtId="172" fontId="5" fillId="2" borderId="1" xfId="21" applyFont="true" applyBorder="true" applyAlignment="true" applyProtection="false">
      <alignment horizontal="center" vertical="center" textRotation="0" wrapText="true" indent="0" shrinkToFit="false"/>
      <protection locked="true" hidden="false"/>
    </xf>
    <xf numFmtId="172" fontId="6" fillId="2" borderId="1" xfId="21" applyFont="true" applyBorder="true" applyAlignment="true" applyProtection="false">
      <alignment horizontal="center" vertical="center" textRotation="0" wrapText="true" indent="0" shrinkToFit="false"/>
      <protection locked="true" hidden="false"/>
    </xf>
    <xf numFmtId="173" fontId="6" fillId="2" borderId="1" xfId="21" applyFont="true" applyBorder="true" applyAlignment="true" applyProtection="false">
      <alignment horizontal="center" vertical="center" textRotation="0" wrapText="true" indent="0" shrinkToFit="false"/>
      <protection locked="true" hidden="false"/>
    </xf>
    <xf numFmtId="173" fontId="5" fillId="2" borderId="1" xfId="21" applyFont="true" applyBorder="true" applyAlignment="true" applyProtection="false">
      <alignment horizontal="center" vertical="center" textRotation="0" wrapText="true" indent="0" shrinkToFit="false"/>
      <protection locked="true" hidden="false"/>
    </xf>
    <xf numFmtId="167" fontId="9" fillId="0" borderId="2" xfId="21" applyFont="true" applyBorder="true" applyAlignment="true" applyProtection="false">
      <alignment horizontal="general" vertical="center" textRotation="0" wrapText="true" indent="0" shrinkToFit="false"/>
      <protection locked="true" hidden="false"/>
    </xf>
    <xf numFmtId="174" fontId="9" fillId="0" borderId="2" xfId="21" applyFont="true" applyBorder="true" applyAlignment="true" applyProtection="false">
      <alignment horizontal="general" vertical="center" textRotation="0" wrapText="true" indent="0" shrinkToFit="false"/>
      <protection locked="true" hidden="false"/>
    </xf>
    <xf numFmtId="164" fontId="14" fillId="4" borderId="0" xfId="21" applyFont="true" applyBorder="true" applyAlignment="true" applyProtection="false">
      <alignment horizontal="general" vertical="bottom" textRotation="0" wrapText="true" indent="0" shrinkToFit="false"/>
      <protection locked="true" hidden="false"/>
    </xf>
    <xf numFmtId="164" fontId="15" fillId="6" borderId="2" xfId="21" applyFont="true" applyBorder="true" applyAlignment="true" applyProtection="false">
      <alignment horizontal="center" vertical="center" textRotation="0" wrapText="true" indent="0" shrinkToFit="false"/>
      <protection locked="true" hidden="false"/>
    </xf>
    <xf numFmtId="164" fontId="16" fillId="0" borderId="0" xfId="21" applyFont="true" applyBorder="false" applyAlignment="false" applyProtection="false">
      <alignment horizontal="general" vertical="bottom" textRotation="0" wrapText="false" indent="0" shrinkToFit="false"/>
      <protection locked="true" hidden="false"/>
    </xf>
    <xf numFmtId="164" fontId="17" fillId="0" borderId="0" xfId="21" applyFont="tru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xfId="21"/>
    <cellStyle name="*unknown*" xfId="20" builtinId="8"/>
  </cellStyles>
  <dxfs count="15">
    <dxf>
      <fill>
        <patternFill patternType="solid">
          <fgColor rgb="FF1F4E78"/>
          <bgColor rgb="FF000000"/>
        </patternFill>
      </fill>
    </dxf>
    <dxf>
      <fill>
        <patternFill patternType="solid">
          <bgColor rgb="FF000000"/>
        </patternFill>
      </fill>
    </dxf>
    <dxf>
      <fill>
        <patternFill patternType="solid">
          <fgColor rgb="FF17365D"/>
          <bgColor rgb="FF000000"/>
        </patternFill>
      </fill>
    </dxf>
    <dxf>
      <fill>
        <patternFill patternType="solid">
          <fgColor rgb="FFFFFFFF"/>
          <bgColor rgb="FF000000"/>
        </patternFill>
      </fill>
    </dxf>
    <dxf>
      <fill>
        <patternFill patternType="solid">
          <fgColor rgb="FF467886"/>
          <bgColor rgb="FF000000"/>
        </patternFill>
      </fill>
    </dxf>
    <dxf>
      <fill>
        <patternFill patternType="solid">
          <fgColor rgb="FFFFF2CC"/>
          <bgColor rgb="FF000000"/>
        </patternFill>
      </fill>
    </dxf>
    <dxf>
      <fill>
        <patternFill patternType="solid">
          <fgColor rgb="FFE2F0D9"/>
          <bgColor rgb="FF000000"/>
        </patternFill>
      </fill>
    </dxf>
    <dxf>
      <fill>
        <patternFill patternType="solid">
          <fgColor rgb="FF006100"/>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8" type="wholeTable"/>
      <tableStyleElement dxfId="9" type="firstColumnStripe"/>
      <tableStyleElement dxfId="10" type="firstRowStripe"/>
      <tableStyleElement dxfId="11" type="lastColumn"/>
      <tableStyleElement dxfId="12" type="firstColumn"/>
      <tableStyleElement dxfId="13" type="headerRow"/>
      <tableStyleElement dxfId="14" type="totalRow"/>
    </tableStyle>
  </tableStyle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156082"/>
      <rgbColor rgb="FFC0C0C0"/>
      <rgbColor rgb="FF808080"/>
      <rgbColor rgb="FF9999FF"/>
      <rgbColor rgb="FF993366"/>
      <rgbColor rgb="FFFFF2CC"/>
      <rgbColor rgb="FFD9EAF7"/>
      <rgbColor rgb="FF660066"/>
      <rgbColor rgb="FFFF8080"/>
      <rgbColor rgb="FF0066CC"/>
      <rgbColor rgb="FFD7E1E7"/>
      <rgbColor rgb="FF000080"/>
      <rgbColor rgb="FFFF00FF"/>
      <rgbColor rgb="FFFFFF00"/>
      <rgbColor rgb="FF00FFFF"/>
      <rgbColor rgb="FF800080"/>
      <rgbColor rgb="FF800000"/>
      <rgbColor rgb="FF008080"/>
      <rgbColor rgb="FF0000FF"/>
      <rgbColor rgb="FF00CCFF"/>
      <rgbColor rgb="FFEEF5F8"/>
      <rgbColor rgb="FFE2F0D9"/>
      <rgbColor rgb="FFFFFF99"/>
      <rgbColor rgb="FF99CCFF"/>
      <rgbColor rgb="FFFF99CC"/>
      <rgbColor rgb="FFCC99FF"/>
      <rgbColor rgb="FFFFCC99"/>
      <rgbColor rgb="FF3366FF"/>
      <rgbColor rgb="FF46B1E1"/>
      <rgbColor rgb="FF99CC00"/>
      <rgbColor rgb="FFFFCC00"/>
      <rgbColor rgb="FFFF9900"/>
      <rgbColor rgb="FFFF6600"/>
      <rgbColor rgb="FF467886"/>
      <rgbColor rgb="FF969696"/>
      <rgbColor rgb="FF17365D"/>
      <rgbColor rgb="FF339966"/>
      <rgbColor rgb="FF003300"/>
      <rgbColor rgb="FF333300"/>
      <rgbColor rgb="FF993300"/>
      <rgbColor rgb="FF993366"/>
      <rgbColor rgb="FF1F4E78"/>
      <rgbColor rgb="FF445E6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ables/table1.xml><?xml version="1.0" encoding="utf-8"?>
<table xmlns="http://schemas.openxmlformats.org/spreadsheetml/2006/main" id="1" name="CorrelationTable" displayName="CorrelationTable" ref="A4:E11" headerRowCount="1" totalsRowCount="0" totalsRowShown="0">
  <tableColumns count="5">
    <tableColumn id="1" name="变量X"/>
    <tableColumn id="2" name="变量Y"/>
    <tableColumn id="3" name="n"/>
    <tableColumn id="4" name="Pearson r"/>
    <tableColumn id="5" name="解释"/>
  </tableColumns>
  <tableStyleInfo name="TableStyleMedium2" showFirstColumn="0" showLastColumn="0" showRowStripes="1" showColumnStripes="0"/>
</table>
</file>

<file path=xl/tables/table2.xml><?xml version="1.0" encoding="utf-8"?>
<table xmlns="http://schemas.openxmlformats.org/spreadsheetml/2006/main" id="2" name="CountryAuditTable" displayName="CountryAuditTable" ref="A4:S171" headerRowCount="1" totalsRowCount="0" totalsRowShown="0">
  <tableColumns count="19">
    <tableColumn id="1" name="ISO3"/>
    <tableColumn id="2" name="国家"/>
    <tableColumn id="3" name="MMR"/>
    <tableColumn id="4" name="MMR年份"/>
    <tableColumn id="5" name="原始GDP"/>
    <tableColumn id="6" name="GDP年份"/>
    <tableColumn id="7" name="logGDP（公式）"/>
    <tableColumn id="8" name="政治体制代码"/>
    <tableColumn id="9" name="文字类别"/>
    <tableColumn id="10" name="政治体制年份"/>
    <tableColumn id="11" name="CPR"/>
    <tableColumn id="12" name="CPR年份"/>
    <tableColumn id="13" name="CPR缺失标记（公式）"/>
    <tableColumn id="14" name="log(MMR)（公式）"/>
    <tableColumn id="15" name="Regime=1"/>
    <tableColumn id="16" name="Regime=2"/>
    <tableColumn id="17" name="Regime=3"/>
    <tableColumn id="18" name="CPR年份-2018"/>
    <tableColumn id="19" name="审计备注"/>
  </tableColumns>
  <tableStyleInfo name="TableStyleMedium2" showFirstColumn="0" showLastColumn="0" showRowStripes="1" showColumnStripes="0"/>
</table>
</file>

<file path=xl/tables/table3.xml><?xml version="1.0" encoding="utf-8"?>
<table xmlns="http://schemas.openxmlformats.org/spreadsheetml/2006/main" id="3" name="DescriptiveTable" displayName="DescriptiveTable" ref="A4:I11" headerRowCount="1" totalsRowCount="0" totalsRowShown="0">
  <tableColumns count="9">
    <tableColumn id="1" name="变量"/>
    <tableColumn id="2" name="n"/>
    <tableColumn id="3" name="均值"/>
    <tableColumn id="4" name="SD"/>
    <tableColumn id="5" name="中位数"/>
    <tableColumn id="6" name="IQR"/>
    <tableColumn id="7" name="最小值"/>
    <tableColumn id="8" name="最大值"/>
    <tableColumn id="9" name="数据列"/>
  </tableColumns>
  <tableStyleInfo name="TableStyleMedium2" showFirstColumn="0" showLastColumn="0" showRowStripes="1" showColumnStripes="0"/>
</table>
</file>

<file path=xl/tables/table4.xml><?xml version="1.0" encoding="utf-8"?>
<table xmlns="http://schemas.openxmlformats.org/spreadsheetml/2006/main" id="4" name="HC3RecordTable" displayName="HC3RecordTable" ref="A4:T30" headerRowCount="1" totalsRowCount="0" totalsRowShown="0">
  <tableColumns count="20">
    <tableColumn id="1" name="模型"/>
    <tableColumn id="2" name="因变量"/>
    <tableColumn id="3" name="预测变量"/>
    <tableColumn id="4" name="项"/>
    <tableColumn id="5" name="n"/>
    <tableColumn id="6" name="k"/>
    <tableColumn id="7" name="df"/>
    <tableColumn id="8" name="β"/>
    <tableColumn id="9" name="经典SE"/>
    <tableColumn id="10" name="经典t"/>
    <tableColumn id="11" name="经典p"/>
    <tableColumn id="12" name="经典CI下"/>
    <tableColumn id="13" name="经典CI上"/>
    <tableColumn id="14" name="HC3 SE"/>
    <tableColumn id="15" name="HC3 t"/>
    <tableColumn id="16" name="HC3 p"/>
    <tableColumn id="17" name="HC3 CI下"/>
    <tableColumn id="18" name="HC3 CI上"/>
    <tableColumn id="19" name="R²"/>
    <tableColumn id="20" name="调整R²"/>
  </tableColumns>
  <tableStyleInfo name="TableStyleMedium2" showFirstColumn="0" showLastColumn="0" showRowStripes="1" showColumnStripes="0"/>
</table>
</file>

<file path=xl/tables/table5.xml><?xml version="1.0" encoding="utf-8"?>
<table xmlns="http://schemas.openxmlformats.org/spreadsheetml/2006/main" id="5" name="MainModelAllTerms" displayName="MainModelAllTerms" ref="A9:M15" headerRowCount="1" totalsRowCount="0" totalsRowShown="0">
  <tableColumns count="13">
    <tableColumn id="1" name="模型"/>
    <tableColumn id="2" name="模型项"/>
    <tableColumn id="3" name="n"/>
    <tableColumn id="4" name="df"/>
    <tableColumn id="5" name="β"/>
    <tableColumn id="6" name="经典SE"/>
    <tableColumn id="7" name="经典p"/>
    <tableColumn id="8" name="HC3 SE"/>
    <tableColumn id="9" name="HC3 p"/>
    <tableColumn id="10" name="HC3 95%CI下限"/>
    <tableColumn id="11" name="HC3 95%CI上限"/>
    <tableColumn id="12" name="R²"/>
    <tableColumn id="13" name="调整R²"/>
  </tableColumns>
  <tableStyleInfo name="TableStyleMedium2" showFirstColumn="0" showLastColumn="0" showRowStripes="1" showColumnStripes="0"/>
</table>
</file>

<file path=xl/tables/table6.xml><?xml version="1.0" encoding="utf-8"?>
<table xmlns="http://schemas.openxmlformats.org/spreadsheetml/2006/main" id="6" name="MainModelResults" displayName="MainModelResults" ref="A4:M6" headerRowCount="1" totalsRowCount="0" totalsRowShown="0">
  <tableColumns count="13">
    <tableColumn id="1" name="模型"/>
    <tableColumn id="2" name="政治体制项"/>
    <tableColumn id="3" name="n"/>
    <tableColumn id="4" name="df"/>
    <tableColumn id="5" name="β"/>
    <tableColumn id="6" name="经典SE"/>
    <tableColumn id="7" name="经典p"/>
    <tableColumn id="8" name="HC3 SE"/>
    <tableColumn id="9" name="HC3 p"/>
    <tableColumn id="10" name="HC3 95%CI下限"/>
    <tableColumn id="11" name="HC3 95%CI上限"/>
    <tableColumn id="12" name="R²"/>
    <tableColumn id="13" name="调整R²"/>
  </tableColumns>
  <tableStyleInfo name="TableStyleMedium2" showFirstColumn="0" showLastColumn="0" showRowStripes="1" showColumnStripes="0"/>
</table>
</file>

<file path=xl/tables/table7.xml><?xml version="1.0" encoding="utf-8"?>
<table xmlns="http://schemas.openxmlformats.org/spreadsheetml/2006/main" id="7" name="MissingByRegimeTable" displayName="MissingByRegimeTable" ref="A4:F8" headerRowCount="1" totalsRowCount="0" totalsRowShown="0">
  <tableColumns count="6">
    <tableColumn id="1" name="政治体制代码"/>
    <tableColumn id="2" name="政治体制类别"/>
    <tableColumn id="3" name="总数"/>
    <tableColumn id="4" name="CPR观测数"/>
    <tableColumn id="5" name="CPR缺失数"/>
    <tableColumn id="6" name="缺失率"/>
  </tableColumns>
  <tableStyleInfo name="TableStyleMedium2" showFirstColumn="0" showLastColumn="0" showRowStripes="1" showColumnStripes="0"/>
</table>
</file>

<file path=xl/tables/table8.xml><?xml version="1.0" encoding="utf-8"?>
<table xmlns="http://schemas.openxmlformats.org/spreadsheetml/2006/main" id="8" name="MissingCountriesTable" displayName="MissingCountriesTable" ref="A12:E40" headerRowCount="1" totalsRowCount="0" totalsRowShown="0">
  <tableColumns count="5">
    <tableColumn id="1" name="ISO3"/>
    <tableColumn id="2" name="国家"/>
    <tableColumn id="3" name="政治体制代码"/>
    <tableColumn id="4" name="政治体制类别"/>
    <tableColumn id="5" name="风险说明"/>
  </tableColumns>
  <tableStyleInfo name="TableStyleMedium2" showFirstColumn="0" showLastColumn="0" showRowStripes="1" showColumnStripes="0"/>
</table>
</file>

<file path=xl/tables/table9.xml><?xml version="1.0" encoding="utf-8"?>
<table xmlns="http://schemas.openxmlformats.org/spreadsheetml/2006/main" id="9" name="PrivacyEvidenceTable" displayName="PrivacyEvidenceTable" ref="A4:M8" headerRowCount="1" totalsRowCount="0" totalsRowShown="0">
  <tableColumns count="13">
    <tableColumn id="1" name="来源/案例"/>
    <tableColumn id="2" name="研究对象"/>
    <tableColumn id="3" name="平台"/>
    <tableColumn id="4" name="地区"/>
    <tableColumn id="5" name="样本量"/>
    <tableColumn id="6" name="分子"/>
    <tableColumn id="7" name="分母"/>
    <tableColumn id="8" name="实际终点"/>
    <tableColumn id="9" name="研究方法"/>
    <tableColumn id="10" name="证据类型"/>
    <tableColumn id="11" name="可比性限制"/>
    <tableColumn id="12" name="原始链接"/>
    <tableColumn id="13" name="后续整改/状态"/>
  </tableColumns>
  <tableStyleInfo name="TableStyleMedium2" showFirstColumn="0" showLastColumn="0" showRowStripes="1" showColumnStripes="0"/>
</table>
</file>

<file path=xl/tables/table10.xml><?xml version="1.0" encoding="utf-8"?>
<table xmlns="http://schemas.openxmlformats.org/spreadsheetml/2006/main" id="10" name="QualityChecksTable" displayName="QualityChecksTable" ref="A4:C13" headerRowCount="1" totalsRowCount="0" totalsRowShown="0">
  <tableColumns count="3">
    <tableColumn id="1" name="检查项目"/>
    <tableColumn id="2" name="状态"/>
    <tableColumn id="3" name="含义"/>
  </tableColumns>
  <tableStyleInfo name="TableStyleMedium2" showFirstColumn="0" showLastColumn="0" showRowStripes="1" showColumnStripes="0"/>
</table>
</file>

<file path=xl/tables/table11.xml><?xml version="1.0" encoding="utf-8"?>
<table xmlns="http://schemas.openxmlformats.org/spreadsheetml/2006/main" id="11" name="ReadmeTable" displayName="ReadmeTable" ref="A4:B13" headerRowCount="1" totalsRowCount="0" totalsRowShown="0">
  <tableColumns count="2">
    <tableColumn id="1" name="项目"/>
    <tableColumn id="2" name="说明"/>
  </tableColumns>
  <tableStyleInfo name="TableStyleMedium2" showFirstColumn="0" showLastColumn="0" showRowStripes="1" showColumnStripes="0"/>
</table>
</file>

<file path=xl/tables/table12.xml><?xml version="1.0" encoding="utf-8"?>
<table xmlns="http://schemas.openxmlformats.org/spreadsheetml/2006/main" id="12" name="RobustnessTable" displayName="RobustnessTable" ref="A4:M14" headerRowCount="1" totalsRowCount="0" totalsRowShown="0">
  <tableColumns count="13">
    <tableColumn id="1" name="模型"/>
    <tableColumn id="2" name="政治体制项"/>
    <tableColumn id="3" name="n"/>
    <tableColumn id="4" name="df"/>
    <tableColumn id="5" name="β"/>
    <tableColumn id="6" name="经典SE"/>
    <tableColumn id="7" name="经典p"/>
    <tableColumn id="8" name="HC3 SE"/>
    <tableColumn id="9" name="HC3 p"/>
    <tableColumn id="10" name="HC3 95%CI下限"/>
    <tableColumn id="11" name="HC3 95%CI上限"/>
    <tableColumn id="12" name="R²"/>
    <tableColumn id="13" name="调整R²"/>
  </tableColumns>
  <tableStyleInfo name="TableStyleMedium2" showFirstColumn="0" showLastColumn="0" showRowStripes="1" showColumnStripes="0"/>
</table>
</file>

<file path=xl/tables/table13.xml><?xml version="1.0" encoding="utf-8"?>
<table xmlns="http://schemas.openxmlformats.org/spreadsheetml/2006/main" id="13" name="SourcesTable" displayName="SourcesTable" ref="A4:J8" headerRowCount="1" totalsRowCount="0" totalsRowShown="0">
  <tableColumns count="10">
    <tableColumn id="1" name="数据集"/>
    <tableColumn id="2" name="来源机构"/>
    <tableColumn id="3" name="版本/存档"/>
    <tableColumn id="4" name="下载日期"/>
    <tableColumn id="5" name="完整URL"/>
    <tableColumn id="6" name="查询范围"/>
    <tableColumn id="7" name="单位"/>
    <tableColumn id="8" name="观测年份规则"/>
    <tableColumn id="9" name="原始文件名"/>
    <tableColumn id="10" name="SHA-256"/>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1.xml"/>
</Relationships>
</file>

<file path=xl/worksheets/_rels/sheet2.xml.rels><?xml version="1.0" encoding="UTF-8"?>
<Relationships xmlns="http://schemas.openxmlformats.org/package/2006/relationships"><Relationship Id="rId1" Type="http://schemas.openxmlformats.org/officeDocument/2006/relationships/hyperlink" Target="https://api.worldbank.org/v2/country/all/indicator/SH.STA.MMRT?format=json&amp;per_page=20000" TargetMode="External"/><Relationship Id="rId2" Type="http://schemas.openxmlformats.org/officeDocument/2006/relationships/hyperlink" Target="https://api.worldbank.org/v2/country/all/indicator/NY.GDP.PCAP.PP.KD?format=json&amp;per_page=20000" TargetMode="External"/><Relationship Id="rId3" Type="http://schemas.openxmlformats.org/officeDocument/2006/relationships/hyperlink" Target="https://api.worldbank.org/v2/country/all/indicator/SP.DYN.CONU.ZS?format=json&amp;per_page=20000" TargetMode="External"/><Relationship Id="rId4" Type="http://schemas.openxmlformats.org/officeDocument/2006/relationships/hyperlink" Target="https://archive.ourworldindata.org/20260805-143540/grapher/political-regime.html" TargetMode="External"/><Relationship Id="rId5" Type="http://schemas.openxmlformats.org/officeDocument/2006/relationships/table" Target="../tables/table13.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7.xml"/><Relationship Id="rId2" Type="http://schemas.openxmlformats.org/officeDocument/2006/relationships/table" Target="../tables/table8.xml"/>
</Relationships>
</file>

<file path=xl/worksheets/_rels/sheet6.xml.rels><?xml version="1.0" encoding="UTF-8"?>
<Relationships xmlns="http://schemas.openxmlformats.org/package/2006/relationships"><Relationship Id="rId1" Type="http://schemas.openxmlformats.org/officeDocument/2006/relationships/table" Target="../tables/table1.xml"/>
</Relationships>
</file>

<file path=xl/worksheets/_rels/sheet7.xml.rels><?xml version="1.0" encoding="UTF-8"?>
<Relationships xmlns="http://schemas.openxmlformats.org/package/2006/relationships"><Relationship Id="rId1" Type="http://schemas.openxmlformats.org/officeDocument/2006/relationships/table" Target="../tables/table5.xml"/><Relationship Id="rId2" Type="http://schemas.openxmlformats.org/officeDocument/2006/relationships/table" Target="../tables/table6.xml"/>
</Relationships>
</file>

<file path=xl/worksheets/_rels/sheet8.xml.rels><?xml version="1.0" encoding="UTF-8"?>
<Relationships xmlns="http://schemas.openxmlformats.org/package/2006/relationships"><Relationship Id="rId1" Type="http://schemas.openxmlformats.org/officeDocument/2006/relationships/table" Target="../tables/table12.xml"/>
</Relationships>
</file>

<file path=xl/worksheets/_rels/sheet9.xml.rels><?xml version="1.0" encoding="UTF-8"?>
<Relationships xmlns="http://schemas.openxmlformats.org/package/2006/relationships"><Relationship Id="rId1" Type="http://schemas.openxmlformats.org/officeDocument/2006/relationships/table" Target="../tables/table4.xml"/>
</Relationships>
</file>

<file path=xl/worksheets/_rels/sheet10.xml.rels><?xml version="1.0" encoding="UTF-8"?>
<Relationships xmlns="http://schemas.openxmlformats.org/package/2006/relationships"><Relationship Id="rId1" Type="http://schemas.openxmlformats.org/officeDocument/2006/relationships/hyperlink" Target="https://www.mozillafoundation.org/en/blog/in-post-roe-v-wade-era-mozilla-labels-18-of-25-popular-period-and-pregnancy-tracking-tech-with-privacy-not-included-warning/" TargetMode="External"/><Relationship Id="rId2" Type="http://schemas.openxmlformats.org/officeDocument/2006/relationships/hyperlink" Target="https://www.bmj.com/content/364/bmj.l920" TargetMode="External"/><Relationship Id="rId3" Type="http://schemas.openxmlformats.org/officeDocument/2006/relationships/hyperlink" Target="https://www.ftc.gov/news-events/news/press-releases/2021/06/ftc-finalizes-order-flo-health-fertility-tracking-app-shared-sensitive-health-data-facebook-google" TargetMode="External"/><Relationship Id="rId4" Type="http://schemas.openxmlformats.org/officeDocument/2006/relationships/hyperlink" Target="https://www.ftc.gov/news-events/news/press-releases/2023/05/ovulation-tracking-app-premom-will-be-barred-sharing-health-data-advertising-under-proposed-ftc" TargetMode="External"/><Relationship Id="rId5" Type="http://schemas.openxmlformats.org/officeDocument/2006/relationships/table" Target="../tables/table9.xml"/>
</Relationships>
</file>

<file path=xl/worksheets/_rels/sheet11.xml.rels><?xml version="1.0" encoding="UTF-8"?>
<Relationships xmlns="http://schemas.openxmlformats.org/package/2006/relationships"><Relationship Id="rId1" Type="http://schemas.openxmlformats.org/officeDocument/2006/relationships/table" Target="../tables/table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0.359375" defaultRowHeight="15" customHeight="false" zeroHeight="false" outlineLevelRow="0" outlineLevelCol="0"/>
  <cols>
    <col collapsed="false" customWidth="true" hidden="false" outlineLevel="0" max="1" min="1" style="0" width="23.87"/>
    <col collapsed="false" customWidth="true" hidden="false" outlineLevel="0" max="2" min="2" style="0" width="125.32"/>
  </cols>
  <sheetData>
    <row r="1" customFormat="false" ht="30" hidden="false" customHeight="true" outlineLevel="0" collapsed="false">
      <c r="A1" s="1" t="s">
        <v>0</v>
      </c>
      <c r="B1" s="1"/>
      <c r="C1" s="1"/>
      <c r="D1" s="1"/>
      <c r="E1" s="1"/>
      <c r="F1" s="1"/>
      <c r="G1" s="1"/>
      <c r="H1" s="1"/>
      <c r="I1" s="1"/>
      <c r="J1" s="1"/>
      <c r="K1" s="1"/>
      <c r="L1" s="1"/>
      <c r="M1" s="1"/>
      <c r="N1" s="1"/>
      <c r="O1" s="1"/>
      <c r="P1" s="1"/>
      <c r="Q1" s="1"/>
    </row>
    <row r="2" customFormat="false" ht="31.5" hidden="false" customHeight="true" outlineLevel="0" collapsed="false">
      <c r="A2" s="2" t="s">
        <v>1</v>
      </c>
      <c r="B2" s="2"/>
      <c r="C2" s="2"/>
      <c r="D2" s="2"/>
      <c r="E2" s="2"/>
      <c r="F2" s="2"/>
      <c r="G2" s="2"/>
      <c r="H2" s="2"/>
      <c r="I2" s="2"/>
      <c r="J2" s="2"/>
      <c r="K2" s="2"/>
      <c r="L2" s="2"/>
      <c r="M2" s="2"/>
      <c r="N2" s="2"/>
      <c r="O2" s="2"/>
      <c r="P2" s="2"/>
      <c r="Q2" s="2"/>
    </row>
    <row r="3" customFormat="false" ht="15" hidden="false" customHeight="false" outlineLevel="0" collapsed="false">
      <c r="A3" s="3"/>
      <c r="B3" s="3"/>
    </row>
    <row r="4" customFormat="false" ht="33.75" hidden="false" customHeight="true" outlineLevel="0" collapsed="false">
      <c r="A4" s="4" t="s">
        <v>2</v>
      </c>
      <c r="B4" s="5" t="s">
        <v>3</v>
      </c>
    </row>
    <row r="5" customFormat="false" ht="33.75" hidden="false" customHeight="true" outlineLevel="0" collapsed="false">
      <c r="A5" s="6" t="s">
        <v>4</v>
      </c>
      <c r="B5" s="7" t="s">
        <v>5</v>
      </c>
    </row>
    <row r="6" customFormat="false" ht="33.75" hidden="false" customHeight="true" outlineLevel="0" collapsed="false">
      <c r="A6" s="6" t="s">
        <v>6</v>
      </c>
      <c r="B6" s="8" t="s">
        <v>7</v>
      </c>
    </row>
    <row r="7" customFormat="false" ht="33.75" hidden="false" customHeight="true" outlineLevel="0" collapsed="false">
      <c r="A7" s="6" t="s">
        <v>8</v>
      </c>
      <c r="B7" s="8" t="s">
        <v>9</v>
      </c>
    </row>
    <row r="8" customFormat="false" ht="33.75" hidden="false" customHeight="true" outlineLevel="0" collapsed="false">
      <c r="A8" s="6" t="s">
        <v>10</v>
      </c>
      <c r="B8" s="7" t="s">
        <v>11</v>
      </c>
    </row>
    <row r="9" customFormat="false" ht="33.75" hidden="false" customHeight="true" outlineLevel="0" collapsed="false">
      <c r="A9" s="9" t="s">
        <v>12</v>
      </c>
      <c r="B9" s="7" t="s">
        <v>13</v>
      </c>
    </row>
    <row r="10" customFormat="false" ht="33.75" hidden="false" customHeight="true" outlineLevel="0" collapsed="false">
      <c r="A10" s="6" t="s">
        <v>14</v>
      </c>
      <c r="B10" s="8" t="s">
        <v>15</v>
      </c>
    </row>
    <row r="11" customFormat="false" ht="33.75" hidden="false" customHeight="true" outlineLevel="0" collapsed="false">
      <c r="A11" s="6" t="s">
        <v>16</v>
      </c>
      <c r="B11" s="7" t="s">
        <v>17</v>
      </c>
    </row>
    <row r="12" customFormat="false" ht="33.75" hidden="false" customHeight="true" outlineLevel="0" collapsed="false">
      <c r="A12" s="6" t="s">
        <v>18</v>
      </c>
      <c r="B12" s="7" t="s">
        <v>19</v>
      </c>
    </row>
    <row r="13" customFormat="false" ht="33.75" hidden="false" customHeight="true" outlineLevel="0" collapsed="false">
      <c r="A13" s="6"/>
      <c r="B13" s="7"/>
    </row>
  </sheetData>
  <mergeCells count="2">
    <mergeCell ref="A1:Q1"/>
    <mergeCell ref="A2:Q2"/>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359375" defaultRowHeight="15" customHeight="false" zeroHeight="false" outlineLevelRow="0" outlineLevelCol="0"/>
  <cols>
    <col collapsed="false" customWidth="true" hidden="false" outlineLevel="0" max="1" min="1" style="0" width="32.22"/>
    <col collapsed="false" customWidth="true" hidden="false" outlineLevel="0" max="2" min="2" style="0" width="40.58"/>
    <col collapsed="false" customWidth="true" hidden="false" outlineLevel="0" max="3" min="3" style="0" width="45.35"/>
    <col collapsed="false" customWidth="true" hidden="false" outlineLevel="0" max="4" min="4" style="0" width="16.71"/>
    <col collapsed="false" customWidth="true" hidden="false" outlineLevel="0" max="5" min="5" style="0" width="105.03"/>
    <col collapsed="false" customWidth="true" hidden="false" outlineLevel="0" max="6" min="6" style="0" width="74"/>
    <col collapsed="false" customWidth="true" hidden="false" outlineLevel="0" max="7" min="7" style="0" width="47.74"/>
    <col collapsed="false" customWidth="true" hidden="false" outlineLevel="0" max="8" min="8" style="0" width="64.45"/>
    <col collapsed="false" customWidth="true" hidden="false" outlineLevel="0" max="9" min="9" style="0" width="40.58"/>
    <col collapsed="false" customWidth="true" hidden="false" outlineLevel="0" max="10" min="10" style="0" width="93.1"/>
  </cols>
  <sheetData>
    <row r="1" customFormat="false" ht="30" hidden="false" customHeight="true" outlineLevel="0" collapsed="false">
      <c r="A1" s="10" t="s">
        <v>20</v>
      </c>
      <c r="B1" s="10"/>
      <c r="C1" s="10"/>
      <c r="D1" s="10"/>
      <c r="E1" s="10"/>
      <c r="F1" s="10"/>
      <c r="G1" s="10"/>
      <c r="H1" s="10"/>
      <c r="I1" s="10"/>
      <c r="J1" s="10"/>
      <c r="K1" s="10"/>
      <c r="L1" s="10"/>
      <c r="M1" s="10"/>
      <c r="N1" s="10"/>
      <c r="O1" s="10"/>
      <c r="P1" s="10"/>
      <c r="Q1" s="10"/>
    </row>
    <row r="2" customFormat="false" ht="31.5" hidden="false" customHeight="true" outlineLevel="0" collapsed="false">
      <c r="A2" s="2" t="s">
        <v>21</v>
      </c>
      <c r="B2" s="2"/>
      <c r="C2" s="2"/>
      <c r="D2" s="2"/>
      <c r="E2" s="2"/>
      <c r="F2" s="2"/>
      <c r="G2" s="2"/>
      <c r="H2" s="2"/>
      <c r="I2" s="2"/>
      <c r="J2" s="2"/>
      <c r="K2" s="2"/>
      <c r="L2" s="2"/>
      <c r="M2" s="2"/>
      <c r="N2" s="2"/>
      <c r="O2" s="2"/>
      <c r="P2" s="2"/>
      <c r="Q2" s="2"/>
    </row>
    <row r="3" customFormat="false" ht="15" hidden="false" customHeight="false" outlineLevel="0" collapsed="false">
      <c r="A3" s="3"/>
      <c r="B3" s="3"/>
      <c r="C3" s="3"/>
      <c r="D3" s="3"/>
      <c r="E3" s="3"/>
      <c r="F3" s="3"/>
      <c r="G3" s="3"/>
      <c r="H3" s="3"/>
      <c r="I3" s="3"/>
      <c r="J3" s="3"/>
    </row>
    <row r="4" customFormat="false" ht="42" hidden="false" customHeight="true" outlineLevel="0" collapsed="false">
      <c r="A4" s="5" t="s">
        <v>22</v>
      </c>
      <c r="B4" s="5" t="s">
        <v>23</v>
      </c>
      <c r="C4" s="5" t="s">
        <v>24</v>
      </c>
      <c r="D4" s="5" t="s">
        <v>25</v>
      </c>
      <c r="E4" s="5" t="s">
        <v>26</v>
      </c>
      <c r="F4" s="5" t="s">
        <v>27</v>
      </c>
      <c r="G4" s="5" t="s">
        <v>28</v>
      </c>
      <c r="H4" s="5" t="s">
        <v>29</v>
      </c>
      <c r="I4" s="5" t="s">
        <v>30</v>
      </c>
      <c r="J4" s="11" t="s">
        <v>31</v>
      </c>
    </row>
    <row r="5" customFormat="false" ht="72" hidden="false" customHeight="true" outlineLevel="0" collapsed="false">
      <c r="A5" s="8" t="s">
        <v>32</v>
      </c>
      <c r="B5" s="8" t="s">
        <v>33</v>
      </c>
      <c r="C5" s="8" t="s">
        <v>34</v>
      </c>
      <c r="D5" s="8" t="s">
        <v>35</v>
      </c>
      <c r="E5" s="12" t="s">
        <v>36</v>
      </c>
      <c r="F5" s="8" t="s">
        <v>37</v>
      </c>
      <c r="G5" s="8" t="s">
        <v>38</v>
      </c>
      <c r="H5" s="8" t="s">
        <v>39</v>
      </c>
      <c r="I5" s="8" t="s">
        <v>40</v>
      </c>
      <c r="J5" s="8" t="s">
        <v>41</v>
      </c>
    </row>
    <row r="6" customFormat="false" ht="72" hidden="false" customHeight="true" outlineLevel="0" collapsed="false">
      <c r="A6" s="8" t="s">
        <v>42</v>
      </c>
      <c r="B6" s="8" t="s">
        <v>33</v>
      </c>
      <c r="C6" s="8" t="s">
        <v>34</v>
      </c>
      <c r="D6" s="8" t="s">
        <v>35</v>
      </c>
      <c r="E6" s="12" t="s">
        <v>43</v>
      </c>
      <c r="F6" s="8" t="s">
        <v>37</v>
      </c>
      <c r="G6" s="8" t="s">
        <v>44</v>
      </c>
      <c r="H6" s="8" t="s">
        <v>45</v>
      </c>
      <c r="I6" s="8" t="s">
        <v>46</v>
      </c>
      <c r="J6" s="8" t="s">
        <v>47</v>
      </c>
    </row>
    <row r="7" customFormat="false" ht="72" hidden="false" customHeight="true" outlineLevel="0" collapsed="false">
      <c r="A7" s="8" t="s">
        <v>48</v>
      </c>
      <c r="B7" s="8" t="s">
        <v>33</v>
      </c>
      <c r="C7" s="8" t="s">
        <v>34</v>
      </c>
      <c r="D7" s="8" t="s">
        <v>35</v>
      </c>
      <c r="E7" s="12" t="s">
        <v>49</v>
      </c>
      <c r="F7" s="8" t="s">
        <v>37</v>
      </c>
      <c r="G7" s="8" t="s">
        <v>50</v>
      </c>
      <c r="H7" s="8" t="s">
        <v>51</v>
      </c>
      <c r="I7" s="8" t="s">
        <v>52</v>
      </c>
      <c r="J7" s="8" t="s">
        <v>53</v>
      </c>
    </row>
    <row r="8" customFormat="false" ht="72" hidden="false" customHeight="true" outlineLevel="0" collapsed="false">
      <c r="A8" s="8" t="s">
        <v>54</v>
      </c>
      <c r="B8" s="8" t="s">
        <v>55</v>
      </c>
      <c r="C8" s="8" t="s">
        <v>56</v>
      </c>
      <c r="D8" s="8" t="s">
        <v>35</v>
      </c>
      <c r="E8" s="12" t="s">
        <v>57</v>
      </c>
      <c r="F8" s="8" t="s">
        <v>58</v>
      </c>
      <c r="G8" s="8" t="s">
        <v>59</v>
      </c>
      <c r="H8" s="8" t="s">
        <v>60</v>
      </c>
      <c r="I8" s="8" t="s">
        <v>61</v>
      </c>
      <c r="J8" s="8" t="s">
        <v>62</v>
      </c>
    </row>
    <row r="10" customFormat="false" ht="15" hidden="false" customHeight="true" outlineLevel="0" collapsed="false">
      <c r="A10" s="13" t="s">
        <v>63</v>
      </c>
      <c r="B10" s="13"/>
      <c r="C10" s="13"/>
      <c r="D10" s="13"/>
      <c r="E10" s="13"/>
      <c r="F10" s="13"/>
    </row>
  </sheetData>
  <mergeCells count="3">
    <mergeCell ref="A1:Q1"/>
    <mergeCell ref="A2:Q2"/>
    <mergeCell ref="A10:F10"/>
  </mergeCells>
  <hyperlinks>
    <hyperlink ref="E5" r:id="rId1" display="https://api.worldbank.org/v2/country/all/indicator/SH.STA.MMRT?format=json&amp;per_page=20000"/>
    <hyperlink ref="E6" r:id="rId2" display="https://api.worldbank.org/v2/country/all/indicator/NY.GDP.PCAP.PP.KD?format=json&amp;per_page=20000"/>
    <hyperlink ref="E7" r:id="rId3" display="https://api.worldbank.org/v2/country/all/indicator/SP.DYN.CONU.ZS?format=json&amp;per_page=20000"/>
    <hyperlink ref="E8" r:id="rId4" display="https://archive.ourworldindata.org/20260805-143540/grapher/political-regime.html"/>
  </hyperlink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1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359375" defaultRowHeight="15" customHeight="false" zeroHeight="false" outlineLevelRow="0" outlineLevelCol="0"/>
  <cols>
    <col collapsed="false" customWidth="true" hidden="false" outlineLevel="0" max="1" min="1" style="0" width="11.94"/>
    <col collapsed="false" customWidth="true" hidden="false" outlineLevel="0" max="2" min="2" style="0" width="29.84"/>
    <col collapsed="false" customWidth="true" hidden="false" outlineLevel="0" max="4" min="3" style="0" width="13.13"/>
    <col collapsed="false" customWidth="true" hidden="false" outlineLevel="0" max="5" min="5" style="0" width="21.48"/>
    <col collapsed="false" customWidth="true" hidden="false" outlineLevel="0" max="6" min="6" style="0" width="13.13"/>
    <col collapsed="false" customWidth="true" hidden="false" outlineLevel="0" max="7" min="7" style="0" width="20.29"/>
    <col collapsed="false" customWidth="true" hidden="false" outlineLevel="0" max="8" min="8" style="0" width="19.1"/>
    <col collapsed="false" customWidth="true" hidden="false" outlineLevel="0" max="9" min="9" style="0" width="29.84"/>
    <col collapsed="false" customWidth="true" hidden="false" outlineLevel="0" max="12" min="10" style="0" width="14.33"/>
    <col collapsed="false" customWidth="true" hidden="false" outlineLevel="0" max="13" min="13" style="0" width="26.26"/>
    <col collapsed="false" customWidth="true" hidden="false" outlineLevel="0" max="14" min="14" style="0" width="21.48"/>
    <col collapsed="false" customWidth="true" hidden="false" outlineLevel="0" max="17" min="15" style="0" width="13.13"/>
    <col collapsed="false" customWidth="true" hidden="false" outlineLevel="0" max="18" min="18" style="0" width="19.1"/>
    <col collapsed="false" customWidth="true" hidden="false" outlineLevel="0" max="19" min="19" style="0" width="85.94"/>
  </cols>
  <sheetData>
    <row r="1" customFormat="false" ht="30" hidden="false" customHeight="true" outlineLevel="0" collapsed="false">
      <c r="A1" s="10" t="s">
        <v>64</v>
      </c>
      <c r="B1" s="10"/>
      <c r="C1" s="10"/>
      <c r="D1" s="10"/>
      <c r="E1" s="10"/>
      <c r="F1" s="10"/>
      <c r="G1" s="10"/>
      <c r="H1" s="10"/>
      <c r="I1" s="10"/>
      <c r="J1" s="10"/>
      <c r="K1" s="10"/>
      <c r="L1" s="10"/>
      <c r="M1" s="10"/>
      <c r="N1" s="10"/>
      <c r="O1" s="10"/>
      <c r="P1" s="10"/>
      <c r="Q1" s="10"/>
      <c r="R1" s="3"/>
      <c r="S1" s="3"/>
    </row>
    <row r="2" customFormat="false" ht="31.5" hidden="false" customHeight="true" outlineLevel="0" collapsed="false">
      <c r="A2" s="2" t="s">
        <v>65</v>
      </c>
      <c r="B2" s="2"/>
      <c r="C2" s="2"/>
      <c r="D2" s="2"/>
      <c r="E2" s="2"/>
      <c r="F2" s="2"/>
      <c r="G2" s="2"/>
      <c r="H2" s="2"/>
      <c r="I2" s="2"/>
      <c r="J2" s="2"/>
      <c r="K2" s="2"/>
      <c r="L2" s="2"/>
      <c r="M2" s="2"/>
      <c r="N2" s="2"/>
      <c r="O2" s="2"/>
      <c r="P2" s="2"/>
      <c r="Q2" s="2"/>
      <c r="R2" s="3"/>
      <c r="S2" s="3"/>
    </row>
    <row r="3" customFormat="false" ht="15" hidden="false" customHeight="false" outlineLevel="0" collapsed="false">
      <c r="A3" s="3"/>
      <c r="B3" s="3"/>
      <c r="C3" s="3"/>
      <c r="D3" s="3"/>
      <c r="E3" s="3"/>
      <c r="F3" s="3"/>
      <c r="G3" s="3"/>
      <c r="H3" s="3"/>
      <c r="I3" s="3"/>
      <c r="J3" s="3"/>
      <c r="K3" s="3"/>
      <c r="L3" s="3"/>
      <c r="M3" s="3"/>
      <c r="N3" s="3"/>
      <c r="O3" s="3"/>
      <c r="P3" s="3"/>
      <c r="Q3" s="3"/>
      <c r="R3" s="3"/>
      <c r="S3" s="3"/>
    </row>
    <row r="4" customFormat="false" ht="51.75" hidden="false" customHeight="true" outlineLevel="0" collapsed="false">
      <c r="A4" s="11" t="s">
        <v>66</v>
      </c>
      <c r="B4" s="5" t="s">
        <v>67</v>
      </c>
      <c r="C4" s="11" t="s">
        <v>68</v>
      </c>
      <c r="D4" s="11" t="s">
        <v>69</v>
      </c>
      <c r="E4" s="5" t="s">
        <v>70</v>
      </c>
      <c r="F4" s="11" t="s">
        <v>71</v>
      </c>
      <c r="G4" s="11" t="s">
        <v>72</v>
      </c>
      <c r="H4" s="5" t="s">
        <v>73</v>
      </c>
      <c r="I4" s="5" t="s">
        <v>74</v>
      </c>
      <c r="J4" s="5" t="s">
        <v>75</v>
      </c>
      <c r="K4" s="11" t="s">
        <v>76</v>
      </c>
      <c r="L4" s="11" t="s">
        <v>77</v>
      </c>
      <c r="M4" s="11" t="s">
        <v>78</v>
      </c>
      <c r="N4" s="11" t="s">
        <v>79</v>
      </c>
      <c r="O4" s="11" t="s">
        <v>80</v>
      </c>
      <c r="P4" s="11" t="s">
        <v>81</v>
      </c>
      <c r="Q4" s="11" t="s">
        <v>82</v>
      </c>
      <c r="R4" s="11" t="s">
        <v>83</v>
      </c>
      <c r="S4" s="5" t="s">
        <v>84</v>
      </c>
    </row>
    <row r="5" customFormat="false" ht="15" hidden="false" customHeight="false" outlineLevel="0" collapsed="false">
      <c r="A5" s="14" t="s">
        <v>85</v>
      </c>
      <c r="B5" s="14" t="s">
        <v>86</v>
      </c>
      <c r="C5" s="15" t="n">
        <v>521</v>
      </c>
      <c r="D5" s="14" t="n">
        <v>2023</v>
      </c>
      <c r="E5" s="16" t="n">
        <v>1983.81261992909</v>
      </c>
      <c r="F5" s="14" t="n">
        <v>2023</v>
      </c>
      <c r="G5" s="17" t="n">
        <f aca="false">LN(E5)</f>
        <v>7.5927758377843</v>
      </c>
      <c r="H5" s="14" t="n">
        <v>0</v>
      </c>
      <c r="I5" s="14" t="s">
        <v>87</v>
      </c>
      <c r="J5" s="14" t="n">
        <v>2023</v>
      </c>
      <c r="K5" s="18" t="n">
        <v>22.5</v>
      </c>
      <c r="L5" s="14" t="n">
        <v>2015</v>
      </c>
      <c r="M5" s="19" t="str">
        <f aca="false">IF(K5="","Missing","Observed")</f>
        <v>Observed</v>
      </c>
      <c r="N5" s="17" t="n">
        <f aca="false">LN(C5)</f>
        <v>6.25575004175337</v>
      </c>
      <c r="O5" s="14" t="n">
        <f aca="false">IF($H5=1,1,0)</f>
        <v>0</v>
      </c>
      <c r="P5" s="14" t="n">
        <f aca="false">IF($H5=2,1,0)</f>
        <v>0</v>
      </c>
      <c r="Q5" s="14" t="n">
        <f aca="false">IF($H5=3,1,0)</f>
        <v>0</v>
      </c>
      <c r="R5" s="14" t="n">
        <f aca="false">IF($L5="","",$L5-2018)</f>
        <v>-3</v>
      </c>
      <c r="S5" s="14"/>
    </row>
    <row r="6" customFormat="false" ht="15" hidden="false" customHeight="false" outlineLevel="0" collapsed="false">
      <c r="A6" s="14" t="s">
        <v>88</v>
      </c>
      <c r="B6" s="14" t="s">
        <v>89</v>
      </c>
      <c r="C6" s="15" t="n">
        <v>7</v>
      </c>
      <c r="D6" s="14" t="n">
        <v>2023</v>
      </c>
      <c r="E6" s="16" t="n">
        <v>20501.6470726741</v>
      </c>
      <c r="F6" s="14" t="n">
        <v>2023</v>
      </c>
      <c r="G6" s="17" t="n">
        <f aca="false">LN(E6)</f>
        <v>9.9282605069075</v>
      </c>
      <c r="H6" s="14" t="n">
        <v>2</v>
      </c>
      <c r="I6" s="14" t="s">
        <v>90</v>
      </c>
      <c r="J6" s="14" t="n">
        <v>2023</v>
      </c>
      <c r="K6" s="18" t="n">
        <v>46</v>
      </c>
      <c r="L6" s="14" t="n">
        <v>2018</v>
      </c>
      <c r="M6" s="19" t="str">
        <f aca="false">IF(K6="","Missing","Observed")</f>
        <v>Observed</v>
      </c>
      <c r="N6" s="17" t="n">
        <f aca="false">LN(C6)</f>
        <v>1.94591014905531</v>
      </c>
      <c r="O6" s="14" t="n">
        <f aca="false">IF($H6=1,1,0)</f>
        <v>0</v>
      </c>
      <c r="P6" s="14" t="n">
        <f aca="false">IF($H6=2,1,0)</f>
        <v>1</v>
      </c>
      <c r="Q6" s="14" t="n">
        <f aca="false">IF($H6=3,1,0)</f>
        <v>0</v>
      </c>
      <c r="R6" s="14" t="n">
        <f aca="false">IF($L6="","",$L6-2018)</f>
        <v>0</v>
      </c>
      <c r="S6" s="14"/>
    </row>
    <row r="7" customFormat="false" ht="15" hidden="false" customHeight="false" outlineLevel="0" collapsed="false">
      <c r="A7" s="14" t="s">
        <v>91</v>
      </c>
      <c r="B7" s="14" t="s">
        <v>92</v>
      </c>
      <c r="C7" s="15" t="n">
        <v>62</v>
      </c>
      <c r="D7" s="14" t="n">
        <v>2023</v>
      </c>
      <c r="E7" s="16" t="n">
        <v>15159.3242373415</v>
      </c>
      <c r="F7" s="14" t="n">
        <v>2023</v>
      </c>
      <c r="G7" s="17" t="n">
        <f aca="false">LN(E7)</f>
        <v>9.6263710828296</v>
      </c>
      <c r="H7" s="14" t="n">
        <v>1</v>
      </c>
      <c r="I7" s="14" t="s">
        <v>93</v>
      </c>
      <c r="J7" s="14" t="n">
        <v>2023</v>
      </c>
      <c r="K7" s="18" t="n">
        <v>53.6</v>
      </c>
      <c r="L7" s="14" t="n">
        <v>2019</v>
      </c>
      <c r="M7" s="19" t="str">
        <f aca="false">IF(K7="","Missing","Observed")</f>
        <v>Observed</v>
      </c>
      <c r="N7" s="17" t="n">
        <f aca="false">LN(C7)</f>
        <v>4.12713438504509</v>
      </c>
      <c r="O7" s="14" t="n">
        <f aca="false">IF($H7=1,1,0)</f>
        <v>1</v>
      </c>
      <c r="P7" s="14" t="n">
        <f aca="false">IF($H7=2,1,0)</f>
        <v>0</v>
      </c>
      <c r="Q7" s="14" t="n">
        <f aca="false">IF($H7=3,1,0)</f>
        <v>0</v>
      </c>
      <c r="R7" s="14" t="n">
        <f aca="false">IF($L7="","",$L7-2018)</f>
        <v>1</v>
      </c>
      <c r="S7" s="14"/>
    </row>
    <row r="8" customFormat="false" ht="15" hidden="false" customHeight="false" outlineLevel="0" collapsed="false">
      <c r="A8" s="14" t="s">
        <v>94</v>
      </c>
      <c r="B8" s="14" t="s">
        <v>95</v>
      </c>
      <c r="C8" s="15" t="n">
        <v>183</v>
      </c>
      <c r="D8" s="14" t="n">
        <v>2023</v>
      </c>
      <c r="E8" s="16" t="n">
        <v>8597.53878787554</v>
      </c>
      <c r="F8" s="14" t="n">
        <v>2023</v>
      </c>
      <c r="G8" s="17" t="n">
        <f aca="false">LN(E8)</f>
        <v>9.05923125382582</v>
      </c>
      <c r="H8" s="14" t="n">
        <v>1</v>
      </c>
      <c r="I8" s="14" t="s">
        <v>93</v>
      </c>
      <c r="J8" s="14" t="n">
        <v>2023</v>
      </c>
      <c r="K8" s="18" t="n">
        <v>13.7</v>
      </c>
      <c r="L8" s="14" t="n">
        <v>2016</v>
      </c>
      <c r="M8" s="19" t="str">
        <f aca="false">IF(K8="","Missing","Observed")</f>
        <v>Observed</v>
      </c>
      <c r="N8" s="17" t="n">
        <f aca="false">LN(C8)</f>
        <v>5.20948615284142</v>
      </c>
      <c r="O8" s="14" t="n">
        <f aca="false">IF($H8=1,1,0)</f>
        <v>1</v>
      </c>
      <c r="P8" s="14" t="n">
        <f aca="false">IF($H8=2,1,0)</f>
        <v>0</v>
      </c>
      <c r="Q8" s="14" t="n">
        <f aca="false">IF($H8=3,1,0)</f>
        <v>0</v>
      </c>
      <c r="R8" s="14" t="n">
        <f aca="false">IF($L8="","",$L8-2018)</f>
        <v>-2</v>
      </c>
      <c r="S8" s="14"/>
    </row>
    <row r="9" customFormat="false" ht="15" hidden="false" customHeight="false" outlineLevel="0" collapsed="false">
      <c r="A9" s="14" t="s">
        <v>96</v>
      </c>
      <c r="B9" s="14" t="s">
        <v>97</v>
      </c>
      <c r="C9" s="15" t="n">
        <v>33</v>
      </c>
      <c r="D9" s="14" t="n">
        <v>2023</v>
      </c>
      <c r="E9" s="16" t="n">
        <v>27230.3968496682</v>
      </c>
      <c r="F9" s="14" t="n">
        <v>2023</v>
      </c>
      <c r="G9" s="17" t="n">
        <f aca="false">LN(E9)</f>
        <v>10.2120891595487</v>
      </c>
      <c r="H9" s="14" t="n">
        <v>2</v>
      </c>
      <c r="I9" s="14" t="s">
        <v>90</v>
      </c>
      <c r="J9" s="14" t="n">
        <v>2023</v>
      </c>
      <c r="K9" s="18" t="n">
        <v>70.1027087175867</v>
      </c>
      <c r="L9" s="14" t="n">
        <v>2020</v>
      </c>
      <c r="M9" s="19" t="str">
        <f aca="false">IF(K9="","Missing","Observed")</f>
        <v>Observed</v>
      </c>
      <c r="N9" s="17" t="n">
        <f aca="false">LN(C9)</f>
        <v>3.49650756146648</v>
      </c>
      <c r="O9" s="14" t="n">
        <f aca="false">IF($H9=1,1,0)</f>
        <v>0</v>
      </c>
      <c r="P9" s="14" t="n">
        <f aca="false">IF($H9=2,1,0)</f>
        <v>1</v>
      </c>
      <c r="Q9" s="14" t="n">
        <f aca="false">IF($H9=3,1,0)</f>
        <v>0</v>
      </c>
      <c r="R9" s="14" t="n">
        <f aca="false">IF($L9="","",$L9-2018)</f>
        <v>2</v>
      </c>
      <c r="S9" s="14"/>
    </row>
    <row r="10" customFormat="false" ht="15" hidden="false" customHeight="false" outlineLevel="0" collapsed="false">
      <c r="A10" s="14" t="s">
        <v>98</v>
      </c>
      <c r="B10" s="14" t="s">
        <v>99</v>
      </c>
      <c r="C10" s="15" t="n">
        <v>19</v>
      </c>
      <c r="D10" s="14" t="n">
        <v>2023</v>
      </c>
      <c r="E10" s="16" t="n">
        <v>19402.7510915578</v>
      </c>
      <c r="F10" s="14" t="n">
        <v>2023</v>
      </c>
      <c r="G10" s="17" t="n">
        <f aca="false">LN(E10)</f>
        <v>9.87317014384068</v>
      </c>
      <c r="H10" s="14" t="n">
        <v>2</v>
      </c>
      <c r="I10" s="14" t="s">
        <v>90</v>
      </c>
      <c r="J10" s="14" t="n">
        <v>2023</v>
      </c>
      <c r="K10" s="18" t="n">
        <v>57.1</v>
      </c>
      <c r="L10" s="14" t="n">
        <v>2016</v>
      </c>
      <c r="M10" s="19" t="str">
        <f aca="false">IF(K10="","Missing","Observed")</f>
        <v>Observed</v>
      </c>
      <c r="N10" s="17" t="n">
        <f aca="false">LN(C10)</f>
        <v>2.94443897916644</v>
      </c>
      <c r="O10" s="14" t="n">
        <f aca="false">IF($H10=1,1,0)</f>
        <v>0</v>
      </c>
      <c r="P10" s="14" t="n">
        <f aca="false">IF($H10=2,1,0)</f>
        <v>1</v>
      </c>
      <c r="Q10" s="14" t="n">
        <f aca="false">IF($H10=3,1,0)</f>
        <v>0</v>
      </c>
      <c r="R10" s="14" t="n">
        <f aca="false">IF($L10="","",$L10-2018)</f>
        <v>-2</v>
      </c>
      <c r="S10" s="14"/>
    </row>
    <row r="11" customFormat="false" ht="15" hidden="false" customHeight="false" outlineLevel="0" collapsed="false">
      <c r="A11" s="14" t="s">
        <v>100</v>
      </c>
      <c r="B11" s="14" t="s">
        <v>101</v>
      </c>
      <c r="C11" s="15" t="n">
        <v>2</v>
      </c>
      <c r="D11" s="14" t="n">
        <v>2023</v>
      </c>
      <c r="E11" s="16" t="n">
        <v>60684.9596204883</v>
      </c>
      <c r="F11" s="14" t="n">
        <v>2023</v>
      </c>
      <c r="G11" s="17" t="n">
        <f aca="false">LN(E11)</f>
        <v>11.013451164145</v>
      </c>
      <c r="H11" s="14" t="n">
        <v>3</v>
      </c>
      <c r="I11" s="14" t="s">
        <v>102</v>
      </c>
      <c r="J11" s="14" t="n">
        <v>2023</v>
      </c>
      <c r="K11" s="18" t="n">
        <v>66.93</v>
      </c>
      <c r="L11" s="14" t="n">
        <v>2016</v>
      </c>
      <c r="M11" s="19" t="str">
        <f aca="false">IF(K11="","Missing","Observed")</f>
        <v>Observed</v>
      </c>
      <c r="N11" s="17" t="n">
        <f aca="false">LN(C11)</f>
        <v>0.693147180559945</v>
      </c>
      <c r="O11" s="14" t="n">
        <f aca="false">IF($H11=1,1,0)</f>
        <v>0</v>
      </c>
      <c r="P11" s="14" t="n">
        <f aca="false">IF($H11=2,1,0)</f>
        <v>0</v>
      </c>
      <c r="Q11" s="14" t="n">
        <f aca="false">IF($H11=3,1,0)</f>
        <v>1</v>
      </c>
      <c r="R11" s="14" t="n">
        <f aca="false">IF($L11="","",$L11-2018)</f>
        <v>-2</v>
      </c>
      <c r="S11" s="14"/>
    </row>
    <row r="12" customFormat="false" ht="15" hidden="false" customHeight="false" outlineLevel="0" collapsed="false">
      <c r="A12" s="14" t="s">
        <v>103</v>
      </c>
      <c r="B12" s="14" t="s">
        <v>104</v>
      </c>
      <c r="C12" s="15" t="n">
        <v>6</v>
      </c>
      <c r="D12" s="14" t="n">
        <v>2023</v>
      </c>
      <c r="E12" s="16" t="n">
        <v>64536.2076307547</v>
      </c>
      <c r="F12" s="14" t="n">
        <v>2023</v>
      </c>
      <c r="G12" s="17" t="n">
        <f aca="false">LN(E12)</f>
        <v>11.0749817038974</v>
      </c>
      <c r="H12" s="14" t="n">
        <v>3</v>
      </c>
      <c r="I12" s="14" t="s">
        <v>102</v>
      </c>
      <c r="J12" s="14" t="n">
        <v>2023</v>
      </c>
      <c r="K12" s="18" t="n">
        <v>65.6525747141987</v>
      </c>
      <c r="L12" s="14" t="n">
        <v>2013</v>
      </c>
      <c r="M12" s="19" t="str">
        <f aca="false">IF(K12="","Missing","Observed")</f>
        <v>Observed</v>
      </c>
      <c r="N12" s="17" t="n">
        <f aca="false">LN(C12)</f>
        <v>1.79175946922806</v>
      </c>
      <c r="O12" s="14" t="n">
        <f aca="false">IF($H12=1,1,0)</f>
        <v>0</v>
      </c>
      <c r="P12" s="14" t="n">
        <f aca="false">IF($H12=2,1,0)</f>
        <v>0</v>
      </c>
      <c r="Q12" s="14" t="n">
        <f aca="false">IF($H12=3,1,0)</f>
        <v>1</v>
      </c>
      <c r="R12" s="14" t="n">
        <f aca="false">IF($L12="","",$L12-2018)</f>
        <v>-5</v>
      </c>
      <c r="S12" s="14"/>
    </row>
    <row r="13" customFormat="false" ht="15" hidden="false" customHeight="false" outlineLevel="0" collapsed="false">
      <c r="A13" s="14" t="s">
        <v>105</v>
      </c>
      <c r="B13" s="14" t="s">
        <v>106</v>
      </c>
      <c r="C13" s="15" t="n">
        <v>18</v>
      </c>
      <c r="D13" s="14" t="n">
        <v>2023</v>
      </c>
      <c r="E13" s="16" t="n">
        <v>21310.7386915022</v>
      </c>
      <c r="F13" s="14" t="n">
        <v>2023</v>
      </c>
      <c r="G13" s="17" t="n">
        <f aca="false">LN(E13)</f>
        <v>9.96696638856988</v>
      </c>
      <c r="H13" s="14" t="n">
        <v>1</v>
      </c>
      <c r="I13" s="14" t="s">
        <v>93</v>
      </c>
      <c r="J13" s="14" t="n">
        <v>2023</v>
      </c>
      <c r="K13" s="18" t="n">
        <v>54.9</v>
      </c>
      <c r="L13" s="14" t="n">
        <v>2011</v>
      </c>
      <c r="M13" s="19" t="str">
        <f aca="false">IF(K13="","Missing","Observed")</f>
        <v>Observed</v>
      </c>
      <c r="N13" s="17" t="n">
        <f aca="false">LN(C13)</f>
        <v>2.89037175789616</v>
      </c>
      <c r="O13" s="14" t="n">
        <f aca="false">IF($H13=1,1,0)</f>
        <v>1</v>
      </c>
      <c r="P13" s="14" t="n">
        <f aca="false">IF($H13=2,1,0)</f>
        <v>0</v>
      </c>
      <c r="Q13" s="14" t="n">
        <f aca="false">IF($H13=3,1,0)</f>
        <v>0</v>
      </c>
      <c r="R13" s="14" t="n">
        <f aca="false">IF($L13="","",$L13-2018)</f>
        <v>-7</v>
      </c>
      <c r="S13" s="14"/>
    </row>
    <row r="14" customFormat="false" ht="15" hidden="false" customHeight="false" outlineLevel="0" collapsed="false">
      <c r="A14" s="14" t="s">
        <v>107</v>
      </c>
      <c r="B14" s="14" t="s">
        <v>108</v>
      </c>
      <c r="C14" s="15" t="n">
        <v>17</v>
      </c>
      <c r="D14" s="14" t="n">
        <v>2023</v>
      </c>
      <c r="E14" s="16" t="n">
        <v>57819.9051831242</v>
      </c>
      <c r="F14" s="14" t="n">
        <v>2023</v>
      </c>
      <c r="G14" s="17" t="n">
        <f aca="false">LN(E14)</f>
        <v>10.965088375706</v>
      </c>
      <c r="H14" s="14" t="n">
        <v>0</v>
      </c>
      <c r="I14" s="14" t="s">
        <v>87</v>
      </c>
      <c r="J14" s="14" t="n">
        <v>2023</v>
      </c>
      <c r="K14" s="18"/>
      <c r="L14" s="14"/>
      <c r="M14" s="19" t="str">
        <f aca="false">IF(K14="","Missing","Observed")</f>
        <v>Missing</v>
      </c>
      <c r="N14" s="17" t="n">
        <f aca="false">LN(C14)</f>
        <v>2.83321334405622</v>
      </c>
      <c r="O14" s="14" t="n">
        <f aca="false">IF($H14=1,1,0)</f>
        <v>0</v>
      </c>
      <c r="P14" s="14" t="n">
        <f aca="false">IF($H14=2,1,0)</f>
        <v>0</v>
      </c>
      <c r="Q14" s="14" t="n">
        <f aca="false">IF($H14=3,1,0)</f>
        <v>0</v>
      </c>
      <c r="R14" s="14" t="str">
        <f aca="false">IF($L14="","",$L14-2018)</f>
        <v/>
      </c>
      <c r="S14" s="14"/>
    </row>
    <row r="15" customFormat="false" ht="15" hidden="false" customHeight="false" outlineLevel="0" collapsed="false">
      <c r="A15" s="14" t="s">
        <v>109</v>
      </c>
      <c r="B15" s="14" t="s">
        <v>110</v>
      </c>
      <c r="C15" s="15" t="n">
        <v>115</v>
      </c>
      <c r="D15" s="14" t="n">
        <v>2023</v>
      </c>
      <c r="E15" s="16" t="n">
        <v>8242.39798977242</v>
      </c>
      <c r="F15" s="14" t="n">
        <v>2023</v>
      </c>
      <c r="G15" s="17" t="n">
        <f aca="false">LN(E15)</f>
        <v>9.01704659874221</v>
      </c>
      <c r="H15" s="14" t="n">
        <v>1</v>
      </c>
      <c r="I15" s="14" t="s">
        <v>93</v>
      </c>
      <c r="J15" s="14" t="n">
        <v>2023</v>
      </c>
      <c r="K15" s="18" t="n">
        <v>64</v>
      </c>
      <c r="L15" s="14" t="n">
        <v>2022</v>
      </c>
      <c r="M15" s="19" t="str">
        <f aca="false">IF(K15="","Missing","Observed")</f>
        <v>Observed</v>
      </c>
      <c r="N15" s="17" t="n">
        <f aca="false">LN(C15)</f>
        <v>4.74493212836325</v>
      </c>
      <c r="O15" s="14" t="n">
        <f aca="false">IF($H15=1,1,0)</f>
        <v>1</v>
      </c>
      <c r="P15" s="14" t="n">
        <f aca="false">IF($H15=2,1,0)</f>
        <v>0</v>
      </c>
      <c r="Q15" s="14" t="n">
        <f aca="false">IF($H15=3,1,0)</f>
        <v>0</v>
      </c>
      <c r="R15" s="14" t="n">
        <f aca="false">IF($L15="","",$L15-2018)</f>
        <v>4</v>
      </c>
      <c r="S15" s="14"/>
    </row>
    <row r="16" customFormat="false" ht="15" hidden="false" customHeight="false" outlineLevel="0" collapsed="false">
      <c r="A16" s="14" t="s">
        <v>111</v>
      </c>
      <c r="B16" s="14" t="s">
        <v>112</v>
      </c>
      <c r="C16" s="15" t="n">
        <v>35</v>
      </c>
      <c r="D16" s="14" t="n">
        <v>2023</v>
      </c>
      <c r="E16" s="16" t="n">
        <v>20865.0155437147</v>
      </c>
      <c r="F16" s="14" t="n">
        <v>2023</v>
      </c>
      <c r="G16" s="17" t="n">
        <f aca="false">LN(E16)</f>
        <v>9.94582913799133</v>
      </c>
      <c r="H16" s="14" t="n">
        <v>3</v>
      </c>
      <c r="I16" s="14" t="s">
        <v>102</v>
      </c>
      <c r="J16" s="14" t="n">
        <v>2023</v>
      </c>
      <c r="K16" s="18" t="n">
        <v>59.20685012</v>
      </c>
      <c r="L16" s="14" t="n">
        <v>2012</v>
      </c>
      <c r="M16" s="19" t="str">
        <f aca="false">IF(K16="","Missing","Observed")</f>
        <v>Observed</v>
      </c>
      <c r="N16" s="17" t="n">
        <f aca="false">LN(C16)</f>
        <v>3.55534806148941</v>
      </c>
      <c r="O16" s="14" t="n">
        <f aca="false">IF($H16=1,1,0)</f>
        <v>0</v>
      </c>
      <c r="P16" s="14" t="n">
        <f aca="false">IF($H16=2,1,0)</f>
        <v>0</v>
      </c>
      <c r="Q16" s="14" t="n">
        <f aca="false">IF($H16=3,1,0)</f>
        <v>1</v>
      </c>
      <c r="R16" s="14" t="n">
        <f aca="false">IF($L16="","",$L16-2018)</f>
        <v>-6</v>
      </c>
      <c r="S16" s="14"/>
    </row>
    <row r="17" customFormat="false" ht="15" hidden="false" customHeight="false" outlineLevel="0" collapsed="false">
      <c r="A17" s="14" t="s">
        <v>113</v>
      </c>
      <c r="B17" s="14" t="s">
        <v>114</v>
      </c>
      <c r="C17" s="15" t="n">
        <v>1</v>
      </c>
      <c r="D17" s="14" t="n">
        <v>2023</v>
      </c>
      <c r="E17" s="16" t="n">
        <v>27782.4380139967</v>
      </c>
      <c r="F17" s="14" t="n">
        <v>2023</v>
      </c>
      <c r="G17" s="17" t="n">
        <f aca="false">LN(E17)</f>
        <v>10.2321593739405</v>
      </c>
      <c r="H17" s="14" t="n">
        <v>1</v>
      </c>
      <c r="I17" s="14" t="s">
        <v>93</v>
      </c>
      <c r="J17" s="14" t="n">
        <v>2023</v>
      </c>
      <c r="K17" s="18" t="n">
        <v>52.6</v>
      </c>
      <c r="L17" s="14" t="n">
        <v>2019</v>
      </c>
      <c r="M17" s="19" t="str">
        <f aca="false">IF(K17="","Missing","Observed")</f>
        <v>Observed</v>
      </c>
      <c r="N17" s="17" t="n">
        <f aca="false">LN(C17)</f>
        <v>0</v>
      </c>
      <c r="O17" s="14" t="n">
        <f aca="false">IF($H17=1,1,0)</f>
        <v>1</v>
      </c>
      <c r="P17" s="14" t="n">
        <f aca="false">IF($H17=2,1,0)</f>
        <v>0</v>
      </c>
      <c r="Q17" s="14" t="n">
        <f aca="false">IF($H17=3,1,0)</f>
        <v>0</v>
      </c>
      <c r="R17" s="14" t="n">
        <f aca="false">IF($L17="","",$L17-2018)</f>
        <v>1</v>
      </c>
      <c r="S17" s="14"/>
    </row>
    <row r="18" customFormat="false" ht="15" hidden="false" customHeight="false" outlineLevel="0" collapsed="false">
      <c r="A18" s="14" t="s">
        <v>115</v>
      </c>
      <c r="B18" s="14" t="s">
        <v>116</v>
      </c>
      <c r="C18" s="15" t="n">
        <v>4</v>
      </c>
      <c r="D18" s="14" t="n">
        <v>2023</v>
      </c>
      <c r="E18" s="16" t="n">
        <v>63042.0099876309</v>
      </c>
      <c r="F18" s="14" t="n">
        <v>2023</v>
      </c>
      <c r="G18" s="17" t="n">
        <f aca="false">LN(E18)</f>
        <v>11.051556608345</v>
      </c>
      <c r="H18" s="14" t="n">
        <v>3</v>
      </c>
      <c r="I18" s="14" t="s">
        <v>102</v>
      </c>
      <c r="J18" s="14" t="n">
        <v>2023</v>
      </c>
      <c r="K18" s="18" t="n">
        <v>66.7</v>
      </c>
      <c r="L18" s="14" t="n">
        <v>2018</v>
      </c>
      <c r="M18" s="19" t="str">
        <f aca="false">IF(K18="","Missing","Observed")</f>
        <v>Observed</v>
      </c>
      <c r="N18" s="17" t="n">
        <f aca="false">LN(C18)</f>
        <v>1.38629436111989</v>
      </c>
      <c r="O18" s="14" t="n">
        <f aca="false">IF($H18=1,1,0)</f>
        <v>0</v>
      </c>
      <c r="P18" s="14" t="n">
        <f aca="false">IF($H18=2,1,0)</f>
        <v>0</v>
      </c>
      <c r="Q18" s="14" t="n">
        <f aca="false">IF($H18=3,1,0)</f>
        <v>1</v>
      </c>
      <c r="R18" s="14" t="n">
        <f aca="false">IF($L18="","",$L18-2018)</f>
        <v>0</v>
      </c>
      <c r="S18" s="14"/>
    </row>
    <row r="19" customFormat="false" ht="15" hidden="false" customHeight="false" outlineLevel="0" collapsed="false">
      <c r="A19" s="14" t="s">
        <v>117</v>
      </c>
      <c r="B19" s="14" t="s">
        <v>118</v>
      </c>
      <c r="C19" s="15" t="n">
        <v>518</v>
      </c>
      <c r="D19" s="14" t="n">
        <v>2023</v>
      </c>
      <c r="E19" s="16" t="n">
        <v>3721.21254814808</v>
      </c>
      <c r="F19" s="14" t="n">
        <v>2023</v>
      </c>
      <c r="G19" s="17" t="n">
        <f aca="false">LN(E19)</f>
        <v>8.22180484795904</v>
      </c>
      <c r="H19" s="14" t="n">
        <v>1</v>
      </c>
      <c r="I19" s="14" t="s">
        <v>93</v>
      </c>
      <c r="J19" s="14" t="n">
        <v>2023</v>
      </c>
      <c r="K19" s="18" t="n">
        <v>22.4</v>
      </c>
      <c r="L19" s="14" t="n">
        <v>2022</v>
      </c>
      <c r="M19" s="19" t="str">
        <f aca="false">IF(K19="","Missing","Observed")</f>
        <v>Observed</v>
      </c>
      <c r="N19" s="17" t="n">
        <f aca="false">LN(C19)</f>
        <v>6.24997524225948</v>
      </c>
      <c r="O19" s="14" t="n">
        <f aca="false">IF($H19=1,1,0)</f>
        <v>1</v>
      </c>
      <c r="P19" s="14" t="n">
        <f aca="false">IF($H19=2,1,0)</f>
        <v>0</v>
      </c>
      <c r="Q19" s="14" t="n">
        <f aca="false">IF($H19=3,1,0)</f>
        <v>0</v>
      </c>
      <c r="R19" s="14" t="n">
        <f aca="false">IF($L19="","",$L19-2018)</f>
        <v>4</v>
      </c>
      <c r="S19" s="14"/>
    </row>
    <row r="20" customFormat="false" ht="15" hidden="false" customHeight="false" outlineLevel="0" collapsed="false">
      <c r="A20" s="14" t="s">
        <v>119</v>
      </c>
      <c r="B20" s="14" t="s">
        <v>120</v>
      </c>
      <c r="C20" s="15" t="n">
        <v>47</v>
      </c>
      <c r="D20" s="14" t="n">
        <v>2023</v>
      </c>
      <c r="E20" s="16" t="n">
        <v>14610.2959097837</v>
      </c>
      <c r="F20" s="14" t="n">
        <v>2023</v>
      </c>
      <c r="G20" s="17" t="n">
        <f aca="false">LN(E20)</f>
        <v>9.58948175846049</v>
      </c>
      <c r="H20" s="14" t="n">
        <v>3</v>
      </c>
      <c r="I20" s="14" t="s">
        <v>102</v>
      </c>
      <c r="J20" s="14" t="n">
        <v>2023</v>
      </c>
      <c r="K20" s="18" t="n">
        <v>65.60409679</v>
      </c>
      <c r="L20" s="14" t="n">
        <v>2010</v>
      </c>
      <c r="M20" s="19" t="str">
        <f aca="false">IF(K20="","Missing","Observed")</f>
        <v>Observed</v>
      </c>
      <c r="N20" s="17" t="n">
        <f aca="false">LN(C20)</f>
        <v>3.85014760171006</v>
      </c>
      <c r="O20" s="14" t="n">
        <f aca="false">IF($H20=1,1,0)</f>
        <v>0</v>
      </c>
      <c r="P20" s="14" t="n">
        <f aca="false">IF($H20=2,1,0)</f>
        <v>0</v>
      </c>
      <c r="Q20" s="14" t="n">
        <f aca="false">IF($H20=3,1,0)</f>
        <v>1</v>
      </c>
      <c r="R20" s="14" t="n">
        <f aca="false">IF($L20="","",$L20-2018)</f>
        <v>-8</v>
      </c>
      <c r="S20" s="14"/>
    </row>
    <row r="21" customFormat="false" ht="15" hidden="false" customHeight="false" outlineLevel="0" collapsed="false">
      <c r="A21" s="14" t="s">
        <v>121</v>
      </c>
      <c r="B21" s="14" t="s">
        <v>122</v>
      </c>
      <c r="C21" s="15" t="n">
        <v>146</v>
      </c>
      <c r="D21" s="14" t="n">
        <v>2023</v>
      </c>
      <c r="E21" s="16" t="n">
        <v>11616.1575595159</v>
      </c>
      <c r="F21" s="14" t="n">
        <v>2023</v>
      </c>
      <c r="G21" s="17" t="n">
        <f aca="false">LN(E21)</f>
        <v>9.3601523009805</v>
      </c>
      <c r="H21" s="14" t="n">
        <v>2</v>
      </c>
      <c r="I21" s="14" t="s">
        <v>90</v>
      </c>
      <c r="J21" s="14" t="n">
        <v>2023</v>
      </c>
      <c r="K21" s="18" t="n">
        <v>66.5</v>
      </c>
      <c r="L21" s="14" t="n">
        <v>2016</v>
      </c>
      <c r="M21" s="19" t="str">
        <f aca="false">IF(K21="","Missing","Observed")</f>
        <v>Observed</v>
      </c>
      <c r="N21" s="17" t="n">
        <f aca="false">LN(C21)</f>
        <v>4.98360662170834</v>
      </c>
      <c r="O21" s="14" t="n">
        <f aca="false">IF($H21=1,1,0)</f>
        <v>0</v>
      </c>
      <c r="P21" s="14" t="n">
        <f aca="false">IF($H21=2,1,0)</f>
        <v>1</v>
      </c>
      <c r="Q21" s="14" t="n">
        <f aca="false">IF($H21=3,1,0)</f>
        <v>0</v>
      </c>
      <c r="R21" s="14" t="n">
        <f aca="false">IF($L21="","",$L21-2018)</f>
        <v>-2</v>
      </c>
      <c r="S21" s="14"/>
    </row>
    <row r="22" customFormat="false" ht="15" hidden="false" customHeight="false" outlineLevel="0" collapsed="false">
      <c r="A22" s="14" t="s">
        <v>123</v>
      </c>
      <c r="B22" s="14" t="s">
        <v>124</v>
      </c>
      <c r="C22" s="15" t="n">
        <v>6</v>
      </c>
      <c r="D22" s="14" t="n">
        <v>2023</v>
      </c>
      <c r="E22" s="16" t="n">
        <v>19804.9181465635</v>
      </c>
      <c r="F22" s="14" t="n">
        <v>2023</v>
      </c>
      <c r="G22" s="17" t="n">
        <f aca="false">LN(E22)</f>
        <v>9.89368557707921</v>
      </c>
      <c r="H22" s="14" t="n">
        <v>2</v>
      </c>
      <c r="I22" s="14" t="s">
        <v>90</v>
      </c>
      <c r="J22" s="14" t="n">
        <v>2023</v>
      </c>
      <c r="K22" s="18" t="n">
        <v>46.01743031</v>
      </c>
      <c r="L22" s="14" t="n">
        <v>2012</v>
      </c>
      <c r="M22" s="19" t="str">
        <f aca="false">IF(K22="","Missing","Observed")</f>
        <v>Observed</v>
      </c>
      <c r="N22" s="17" t="n">
        <f aca="false">LN(C22)</f>
        <v>1.79175946922806</v>
      </c>
      <c r="O22" s="14" t="n">
        <f aca="false">IF($H22=1,1,0)</f>
        <v>0</v>
      </c>
      <c r="P22" s="14" t="n">
        <f aca="false">IF($H22=2,1,0)</f>
        <v>1</v>
      </c>
      <c r="Q22" s="14" t="n">
        <f aca="false">IF($H22=3,1,0)</f>
        <v>0</v>
      </c>
      <c r="R22" s="14" t="n">
        <f aca="false">IF($L22="","",$L22-2018)</f>
        <v>-6</v>
      </c>
      <c r="S22" s="14"/>
    </row>
    <row r="23" customFormat="false" ht="15" hidden="false" customHeight="false" outlineLevel="0" collapsed="false">
      <c r="A23" s="14" t="s">
        <v>125</v>
      </c>
      <c r="B23" s="14" t="s">
        <v>126</v>
      </c>
      <c r="C23" s="15" t="n">
        <v>155</v>
      </c>
      <c r="D23" s="14" t="n">
        <v>2023</v>
      </c>
      <c r="E23" s="16" t="n">
        <v>18932.4802712334</v>
      </c>
      <c r="F23" s="14" t="n">
        <v>2023</v>
      </c>
      <c r="G23" s="17" t="n">
        <f aca="false">LN(E23)</f>
        <v>9.84863425892925</v>
      </c>
      <c r="H23" s="14" t="n">
        <v>2</v>
      </c>
      <c r="I23" s="14" t="s">
        <v>90</v>
      </c>
      <c r="J23" s="14" t="n">
        <v>2023</v>
      </c>
      <c r="K23" s="18" t="n">
        <v>67.4</v>
      </c>
      <c r="L23" s="14" t="n">
        <v>2017</v>
      </c>
      <c r="M23" s="19" t="str">
        <f aca="false">IF(K23="","Missing","Observed")</f>
        <v>Observed</v>
      </c>
      <c r="N23" s="17" t="n">
        <f aca="false">LN(C23)</f>
        <v>5.04342511691925</v>
      </c>
      <c r="O23" s="14" t="n">
        <f aca="false">IF($H23=1,1,0)</f>
        <v>0</v>
      </c>
      <c r="P23" s="14" t="n">
        <f aca="false">IF($H23=2,1,0)</f>
        <v>1</v>
      </c>
      <c r="Q23" s="14" t="n">
        <f aca="false">IF($H23=3,1,0)</f>
        <v>0</v>
      </c>
      <c r="R23" s="14" t="n">
        <f aca="false">IF($L23="","",$L23-2018)</f>
        <v>-1</v>
      </c>
      <c r="S23" s="14"/>
    </row>
    <row r="24" customFormat="false" ht="15" hidden="false" customHeight="false" outlineLevel="0" collapsed="false">
      <c r="A24" s="14" t="s">
        <v>127</v>
      </c>
      <c r="B24" s="14" t="s">
        <v>128</v>
      </c>
      <c r="C24" s="15" t="n">
        <v>67</v>
      </c>
      <c r="D24" s="14" t="n">
        <v>2023</v>
      </c>
      <c r="E24" s="16" t="n">
        <v>19079.8122134028</v>
      </c>
      <c r="F24" s="14" t="n">
        <v>2023</v>
      </c>
      <c r="G24" s="17" t="n">
        <f aca="false">LN(E24)</f>
        <v>9.856386102889</v>
      </c>
      <c r="H24" s="14" t="n">
        <v>2</v>
      </c>
      <c r="I24" s="14" t="s">
        <v>90</v>
      </c>
      <c r="J24" s="14" t="n">
        <v>2023</v>
      </c>
      <c r="K24" s="18" t="n">
        <v>80.2004995714604</v>
      </c>
      <c r="L24" s="14" t="n">
        <v>2013</v>
      </c>
      <c r="M24" s="19" t="str">
        <f aca="false">IF(K24="","Missing","Observed")</f>
        <v>Observed</v>
      </c>
      <c r="N24" s="17" t="n">
        <f aca="false">LN(C24)</f>
        <v>4.20469261939097</v>
      </c>
      <c r="O24" s="14" t="n">
        <f aca="false">IF($H24=1,1,0)</f>
        <v>0</v>
      </c>
      <c r="P24" s="14" t="n">
        <f aca="false">IF($H24=2,1,0)</f>
        <v>1</v>
      </c>
      <c r="Q24" s="14" t="n">
        <f aca="false">IF($H24=3,1,0)</f>
        <v>0</v>
      </c>
      <c r="R24" s="14" t="n">
        <f aca="false">IF($L24="","",$L24-2018)</f>
        <v>-5</v>
      </c>
      <c r="S24" s="14"/>
    </row>
    <row r="25" customFormat="false" ht="15" hidden="false" customHeight="false" outlineLevel="0" collapsed="false">
      <c r="A25" s="14" t="s">
        <v>129</v>
      </c>
      <c r="B25" s="14" t="s">
        <v>130</v>
      </c>
      <c r="C25" s="15" t="n">
        <v>6</v>
      </c>
      <c r="D25" s="14" t="n">
        <v>2023</v>
      </c>
      <c r="E25" s="16" t="n">
        <v>33073.6803093453</v>
      </c>
      <c r="F25" s="14" t="n">
        <v>2023</v>
      </c>
      <c r="G25" s="17" t="n">
        <f aca="false">LN(E25)</f>
        <v>10.4064930882429</v>
      </c>
      <c r="H25" s="14" t="n">
        <v>2</v>
      </c>
      <c r="I25" s="14" t="s">
        <v>90</v>
      </c>
      <c r="J25" s="14" t="n">
        <v>2023</v>
      </c>
      <c r="K25" s="18"/>
      <c r="L25" s="14"/>
      <c r="M25" s="19" t="str">
        <f aca="false">IF(K25="","Missing","Observed")</f>
        <v>Missing</v>
      </c>
      <c r="N25" s="17" t="n">
        <f aca="false">LN(C25)</f>
        <v>1.79175946922806</v>
      </c>
      <c r="O25" s="14" t="n">
        <f aca="false">IF($H25=1,1,0)</f>
        <v>0</v>
      </c>
      <c r="P25" s="14" t="n">
        <f aca="false">IF($H25=2,1,0)</f>
        <v>1</v>
      </c>
      <c r="Q25" s="14" t="n">
        <f aca="false">IF($H25=3,1,0)</f>
        <v>0</v>
      </c>
      <c r="R25" s="14" t="str">
        <f aca="false">IF($L25="","",$L25-2018)</f>
        <v/>
      </c>
      <c r="S25" s="14"/>
    </row>
    <row r="26" customFormat="false" ht="15" hidden="false" customHeight="false" outlineLevel="0" collapsed="false">
      <c r="A26" s="14" t="s">
        <v>131</v>
      </c>
      <c r="B26" s="14" t="s">
        <v>132</v>
      </c>
      <c r="C26" s="15" t="n">
        <v>242</v>
      </c>
      <c r="D26" s="14" t="n">
        <v>2023</v>
      </c>
      <c r="E26" s="16" t="n">
        <v>2486.20669812871</v>
      </c>
      <c r="F26" s="14" t="n">
        <v>2023</v>
      </c>
      <c r="G26" s="17" t="n">
        <f aca="false">LN(E26)</f>
        <v>7.81851341347703</v>
      </c>
      <c r="H26" s="14" t="n">
        <v>0</v>
      </c>
      <c r="I26" s="14" t="s">
        <v>87</v>
      </c>
      <c r="J26" s="14" t="n">
        <v>2023</v>
      </c>
      <c r="K26" s="18" t="n">
        <v>33.9627403568433</v>
      </c>
      <c r="L26" s="14" t="n">
        <v>2022</v>
      </c>
      <c r="M26" s="19" t="str">
        <f aca="false">IF(K26="","Missing","Observed")</f>
        <v>Observed</v>
      </c>
      <c r="N26" s="17" t="n">
        <f aca="false">LN(C26)</f>
        <v>5.48893772615669</v>
      </c>
      <c r="O26" s="14" t="n">
        <f aca="false">IF($H26=1,1,0)</f>
        <v>0</v>
      </c>
      <c r="P26" s="14" t="n">
        <f aca="false">IF($H26=2,1,0)</f>
        <v>0</v>
      </c>
      <c r="Q26" s="14" t="n">
        <f aca="false">IF($H26=3,1,0)</f>
        <v>0</v>
      </c>
      <c r="R26" s="14" t="n">
        <f aca="false">IF($L26="","",$L26-2018)</f>
        <v>4</v>
      </c>
      <c r="S26" s="14"/>
    </row>
    <row r="27" customFormat="false" ht="15" hidden="false" customHeight="false" outlineLevel="0" collapsed="false">
      <c r="A27" s="14" t="s">
        <v>133</v>
      </c>
      <c r="B27" s="14" t="s">
        <v>134</v>
      </c>
      <c r="C27" s="15" t="n">
        <v>392</v>
      </c>
      <c r="D27" s="14" t="n">
        <v>2023</v>
      </c>
      <c r="E27" s="16" t="n">
        <v>1033.00937341776</v>
      </c>
      <c r="F27" s="14" t="n">
        <v>2023</v>
      </c>
      <c r="G27" s="17" t="n">
        <f aca="false">LN(E27)</f>
        <v>6.940231543055</v>
      </c>
      <c r="H27" s="14" t="n">
        <v>1</v>
      </c>
      <c r="I27" s="14" t="s">
        <v>93</v>
      </c>
      <c r="J27" s="14" t="n">
        <v>2023</v>
      </c>
      <c r="K27" s="18" t="n">
        <v>28.5</v>
      </c>
      <c r="L27" s="14" t="n">
        <v>2017</v>
      </c>
      <c r="M27" s="19" t="str">
        <f aca="false">IF(K27="","Missing","Observed")</f>
        <v>Observed</v>
      </c>
      <c r="N27" s="17" t="n">
        <f aca="false">LN(C27)</f>
        <v>5.97126183979046</v>
      </c>
      <c r="O27" s="14" t="n">
        <f aca="false">IF($H27=1,1,0)</f>
        <v>1</v>
      </c>
      <c r="P27" s="14" t="n">
        <f aca="false">IF($H27=2,1,0)</f>
        <v>0</v>
      </c>
      <c r="Q27" s="14" t="n">
        <f aca="false">IF($H27=3,1,0)</f>
        <v>0</v>
      </c>
      <c r="R27" s="14" t="n">
        <f aca="false">IF($L27="","",$L27-2018)</f>
        <v>-1</v>
      </c>
      <c r="S27" s="14"/>
    </row>
    <row r="28" customFormat="false" ht="15" hidden="false" customHeight="false" outlineLevel="0" collapsed="false">
      <c r="A28" s="14" t="s">
        <v>135</v>
      </c>
      <c r="B28" s="14" t="s">
        <v>136</v>
      </c>
      <c r="C28" s="15" t="n">
        <v>40</v>
      </c>
      <c r="D28" s="14" t="n">
        <v>2023</v>
      </c>
      <c r="E28" s="16" t="n">
        <v>9228.4604533114</v>
      </c>
      <c r="F28" s="14" t="n">
        <v>2023</v>
      </c>
      <c r="G28" s="17" t="n">
        <f aca="false">LN(E28)</f>
        <v>9.1300475154601</v>
      </c>
      <c r="H28" s="14" t="n">
        <v>2</v>
      </c>
      <c r="I28" s="14" t="s">
        <v>90</v>
      </c>
      <c r="J28" s="14" t="n">
        <v>2023</v>
      </c>
      <c r="K28" s="18" t="n">
        <v>55.8</v>
      </c>
      <c r="L28" s="14" t="n">
        <v>2018</v>
      </c>
      <c r="M28" s="19" t="str">
        <f aca="false">IF(K28="","Missing","Observed")</f>
        <v>Observed</v>
      </c>
      <c r="N28" s="17" t="n">
        <f aca="false">LN(C28)</f>
        <v>3.68887945411394</v>
      </c>
      <c r="O28" s="14" t="n">
        <f aca="false">IF($H28=1,1,0)</f>
        <v>0</v>
      </c>
      <c r="P28" s="14" t="n">
        <f aca="false">IF($H28=2,1,0)</f>
        <v>1</v>
      </c>
      <c r="Q28" s="14" t="n">
        <f aca="false">IF($H28=3,1,0)</f>
        <v>0</v>
      </c>
      <c r="R28" s="14" t="n">
        <f aca="false">IF($L28="","",$L28-2018)</f>
        <v>0</v>
      </c>
      <c r="S28" s="14"/>
    </row>
    <row r="29" customFormat="false" ht="15" hidden="false" customHeight="false" outlineLevel="0" collapsed="false">
      <c r="A29" s="14" t="s">
        <v>137</v>
      </c>
      <c r="B29" s="14" t="s">
        <v>138</v>
      </c>
      <c r="C29" s="15" t="n">
        <v>137</v>
      </c>
      <c r="D29" s="14" t="n">
        <v>2023</v>
      </c>
      <c r="E29" s="16" t="n">
        <v>6695.29194763723</v>
      </c>
      <c r="F29" s="14" t="n">
        <v>2023</v>
      </c>
      <c r="G29" s="17" t="n">
        <f aca="false">LN(E29)</f>
        <v>8.80915986399114</v>
      </c>
      <c r="H29" s="14" t="n">
        <v>1</v>
      </c>
      <c r="I29" s="14" t="s">
        <v>93</v>
      </c>
      <c r="J29" s="14" t="n">
        <v>2023</v>
      </c>
      <c r="K29" s="18" t="n">
        <v>61.9</v>
      </c>
      <c r="L29" s="14" t="n">
        <v>2022</v>
      </c>
      <c r="M29" s="19" t="str">
        <f aca="false">IF(K29="","Missing","Observed")</f>
        <v>Observed</v>
      </c>
      <c r="N29" s="17" t="n">
        <f aca="false">LN(C29)</f>
        <v>4.91998092582813</v>
      </c>
      <c r="O29" s="14" t="n">
        <f aca="false">IF($H29=1,1,0)</f>
        <v>1</v>
      </c>
      <c r="P29" s="14" t="n">
        <f aca="false">IF($H29=2,1,0)</f>
        <v>0</v>
      </c>
      <c r="Q29" s="14" t="n">
        <f aca="false">IF($H29=3,1,0)</f>
        <v>0</v>
      </c>
      <c r="R29" s="14" t="n">
        <f aca="false">IF($L29="","",$L29-2018)</f>
        <v>4</v>
      </c>
      <c r="S29" s="14"/>
    </row>
    <row r="30" customFormat="false" ht="15" hidden="false" customHeight="false" outlineLevel="0" collapsed="false">
      <c r="A30" s="14" t="s">
        <v>139</v>
      </c>
      <c r="B30" s="14" t="s">
        <v>140</v>
      </c>
      <c r="C30" s="15" t="n">
        <v>258</v>
      </c>
      <c r="D30" s="14" t="n">
        <v>2023</v>
      </c>
      <c r="E30" s="16" t="n">
        <v>4875.25120768005</v>
      </c>
      <c r="F30" s="14" t="n">
        <v>2023</v>
      </c>
      <c r="G30" s="17" t="n">
        <f aca="false">LN(E30)</f>
        <v>8.49192691188486</v>
      </c>
      <c r="H30" s="14" t="n">
        <v>1</v>
      </c>
      <c r="I30" s="14" t="s">
        <v>93</v>
      </c>
      <c r="J30" s="14" t="n">
        <v>2023</v>
      </c>
      <c r="K30" s="18" t="n">
        <v>19.3</v>
      </c>
      <c r="L30" s="14" t="n">
        <v>2018</v>
      </c>
      <c r="M30" s="19" t="str">
        <f aca="false">IF(K30="","Missing","Observed")</f>
        <v>Observed</v>
      </c>
      <c r="N30" s="17" t="n">
        <f aca="false">LN(C30)</f>
        <v>5.55295958492162</v>
      </c>
      <c r="O30" s="14" t="n">
        <f aca="false">IF($H30=1,1,0)</f>
        <v>1</v>
      </c>
      <c r="P30" s="14" t="n">
        <f aca="false">IF($H30=2,1,0)</f>
        <v>0</v>
      </c>
      <c r="Q30" s="14" t="n">
        <f aca="false">IF($H30=3,1,0)</f>
        <v>0</v>
      </c>
      <c r="R30" s="14" t="n">
        <f aca="false">IF($L30="","",$L30-2018)</f>
        <v>0</v>
      </c>
      <c r="S30" s="14"/>
    </row>
    <row r="31" customFormat="false" ht="15" hidden="false" customHeight="false" outlineLevel="0" collapsed="false">
      <c r="A31" s="14" t="s">
        <v>141</v>
      </c>
      <c r="B31" s="14" t="s">
        <v>142</v>
      </c>
      <c r="C31" s="15" t="n">
        <v>12</v>
      </c>
      <c r="D31" s="14" t="n">
        <v>2023</v>
      </c>
      <c r="E31" s="16" t="n">
        <v>58088.3778077995</v>
      </c>
      <c r="F31" s="14" t="n">
        <v>2023</v>
      </c>
      <c r="G31" s="17" t="n">
        <f aca="false">LN(E31)</f>
        <v>10.9697208850983</v>
      </c>
      <c r="H31" s="14" t="n">
        <v>2</v>
      </c>
      <c r="I31" s="14" t="s">
        <v>90</v>
      </c>
      <c r="J31" s="14" t="n">
        <v>2023</v>
      </c>
      <c r="K31" s="18"/>
      <c r="L31" s="14"/>
      <c r="M31" s="19" t="str">
        <f aca="false">IF(K31="","Missing","Observed")</f>
        <v>Missing</v>
      </c>
      <c r="N31" s="17" t="n">
        <f aca="false">LN(C31)</f>
        <v>2.484906649788</v>
      </c>
      <c r="O31" s="14" t="n">
        <f aca="false">IF($H31=1,1,0)</f>
        <v>0</v>
      </c>
      <c r="P31" s="14" t="n">
        <f aca="false">IF($H31=2,1,0)</f>
        <v>1</v>
      </c>
      <c r="Q31" s="14" t="n">
        <f aca="false">IF($H31=3,1,0)</f>
        <v>0</v>
      </c>
      <c r="R31" s="14" t="str">
        <f aca="false">IF($L31="","",$L31-2018)</f>
        <v/>
      </c>
      <c r="S31" s="14"/>
    </row>
    <row r="32" customFormat="false" ht="15" hidden="false" customHeight="false" outlineLevel="0" collapsed="false">
      <c r="A32" s="14" t="s">
        <v>143</v>
      </c>
      <c r="B32" s="14" t="s">
        <v>144</v>
      </c>
      <c r="C32" s="15" t="n">
        <v>692</v>
      </c>
      <c r="D32" s="14" t="n">
        <v>2023</v>
      </c>
      <c r="E32" s="16" t="n">
        <v>1132.67643369804</v>
      </c>
      <c r="F32" s="14" t="n">
        <v>2023</v>
      </c>
      <c r="G32" s="17" t="n">
        <f aca="false">LN(E32)</f>
        <v>7.03233863656783</v>
      </c>
      <c r="H32" s="14" t="n">
        <v>1</v>
      </c>
      <c r="I32" s="14" t="s">
        <v>93</v>
      </c>
      <c r="J32" s="14" t="n">
        <v>2023</v>
      </c>
      <c r="K32" s="18" t="n">
        <v>17.8</v>
      </c>
      <c r="L32" s="14" t="n">
        <v>2019</v>
      </c>
      <c r="M32" s="19" t="str">
        <f aca="false">IF(K32="","Missing","Observed")</f>
        <v>Observed</v>
      </c>
      <c r="N32" s="17" t="n">
        <f aca="false">LN(C32)</f>
        <v>6.53958595561767</v>
      </c>
      <c r="O32" s="14" t="n">
        <f aca="false">IF($H32=1,1,0)</f>
        <v>1</v>
      </c>
      <c r="P32" s="14" t="n">
        <f aca="false">IF($H32=2,1,0)</f>
        <v>0</v>
      </c>
      <c r="Q32" s="14" t="n">
        <f aca="false">IF($H32=3,1,0)</f>
        <v>0</v>
      </c>
      <c r="R32" s="14" t="n">
        <f aca="false">IF($L32="","",$L32-2018)</f>
        <v>1</v>
      </c>
      <c r="S32" s="14"/>
    </row>
    <row r="33" customFormat="false" ht="15" hidden="false" customHeight="false" outlineLevel="0" collapsed="false">
      <c r="A33" s="14" t="s">
        <v>145</v>
      </c>
      <c r="B33" s="14" t="s">
        <v>146</v>
      </c>
      <c r="C33" s="15" t="n">
        <v>748</v>
      </c>
      <c r="D33" s="14" t="n">
        <v>2023</v>
      </c>
      <c r="E33" s="16" t="n">
        <v>2433.53330962707</v>
      </c>
      <c r="F33" s="14" t="n">
        <v>2023</v>
      </c>
      <c r="G33" s="17" t="n">
        <f aca="false">LN(E33)</f>
        <v>7.79709951713014</v>
      </c>
      <c r="H33" s="14" t="n">
        <v>0</v>
      </c>
      <c r="I33" s="14" t="s">
        <v>87</v>
      </c>
      <c r="J33" s="14" t="n">
        <v>2023</v>
      </c>
      <c r="K33" s="18" t="n">
        <v>8.1</v>
      </c>
      <c r="L33" s="14" t="n">
        <v>2019</v>
      </c>
      <c r="M33" s="19" t="str">
        <f aca="false">IF(K33="","Missing","Observed")</f>
        <v>Observed</v>
      </c>
      <c r="N33" s="17" t="n">
        <f aca="false">LN(C33)</f>
        <v>6.61740297797448</v>
      </c>
      <c r="O33" s="14" t="n">
        <f aca="false">IF($H33=1,1,0)</f>
        <v>0</v>
      </c>
      <c r="P33" s="14" t="n">
        <f aca="false">IF($H33=2,1,0)</f>
        <v>0</v>
      </c>
      <c r="Q33" s="14" t="n">
        <f aca="false">IF($H33=3,1,0)</f>
        <v>0</v>
      </c>
      <c r="R33" s="14" t="n">
        <f aca="false">IF($L33="","",$L33-2018)</f>
        <v>1</v>
      </c>
      <c r="S33" s="14"/>
    </row>
    <row r="34" customFormat="false" ht="15" hidden="false" customHeight="false" outlineLevel="0" collapsed="false">
      <c r="A34" s="14" t="s">
        <v>147</v>
      </c>
      <c r="B34" s="14" t="s">
        <v>148</v>
      </c>
      <c r="C34" s="15" t="n">
        <v>10</v>
      </c>
      <c r="D34" s="14" t="n">
        <v>2023</v>
      </c>
      <c r="E34" s="16" t="n">
        <v>29600.4188613168</v>
      </c>
      <c r="F34" s="14" t="n">
        <v>2023</v>
      </c>
      <c r="G34" s="17" t="n">
        <f aca="false">LN(E34)</f>
        <v>10.2955437909322</v>
      </c>
      <c r="H34" s="14" t="n">
        <v>3</v>
      </c>
      <c r="I34" s="14" t="s">
        <v>102</v>
      </c>
      <c r="J34" s="14" t="n">
        <v>2023</v>
      </c>
      <c r="K34" s="18" t="n">
        <v>76.2635245751857</v>
      </c>
      <c r="L34" s="14" t="n">
        <v>2016</v>
      </c>
      <c r="M34" s="19" t="str">
        <f aca="false">IF(K34="","Missing","Observed")</f>
        <v>Observed</v>
      </c>
      <c r="N34" s="17" t="n">
        <f aca="false">LN(C34)</f>
        <v>2.30258509299405</v>
      </c>
      <c r="O34" s="14" t="n">
        <f aca="false">IF($H34=1,1,0)</f>
        <v>0</v>
      </c>
      <c r="P34" s="14" t="n">
        <f aca="false">IF($H34=2,1,0)</f>
        <v>0</v>
      </c>
      <c r="Q34" s="14" t="n">
        <f aca="false">IF($H34=3,1,0)</f>
        <v>1</v>
      </c>
      <c r="R34" s="14" t="n">
        <f aca="false">IF($L34="","",$L34-2018)</f>
        <v>-2</v>
      </c>
      <c r="S34" s="14"/>
    </row>
    <row r="35" customFormat="false" ht="15" hidden="false" customHeight="false" outlineLevel="0" collapsed="false">
      <c r="A35" s="14" t="s">
        <v>149</v>
      </c>
      <c r="B35" s="14" t="s">
        <v>150</v>
      </c>
      <c r="C35" s="15" t="n">
        <v>16</v>
      </c>
      <c r="D35" s="14" t="n">
        <v>2023</v>
      </c>
      <c r="E35" s="16" t="n">
        <v>22687.2519534328</v>
      </c>
      <c r="F35" s="14" t="n">
        <v>2023</v>
      </c>
      <c r="G35" s="17" t="n">
        <f aca="false">LN(E35)</f>
        <v>10.0295584577654</v>
      </c>
      <c r="H35" s="14" t="n">
        <v>0</v>
      </c>
      <c r="I35" s="14" t="s">
        <v>87</v>
      </c>
      <c r="J35" s="14" t="n">
        <v>2023</v>
      </c>
      <c r="K35" s="18" t="n">
        <v>84.5</v>
      </c>
      <c r="L35" s="14" t="n">
        <v>2017</v>
      </c>
      <c r="M35" s="19" t="str">
        <f aca="false">IF(K35="","Missing","Observed")</f>
        <v>Observed</v>
      </c>
      <c r="N35" s="17" t="n">
        <f aca="false">LN(C35)</f>
        <v>2.77258872223978</v>
      </c>
      <c r="O35" s="14" t="n">
        <f aca="false">IF($H35=1,1,0)</f>
        <v>0</v>
      </c>
      <c r="P35" s="14" t="n">
        <f aca="false">IF($H35=2,1,0)</f>
        <v>0</v>
      </c>
      <c r="Q35" s="14" t="n">
        <f aca="false">IF($H35=3,1,0)</f>
        <v>0</v>
      </c>
      <c r="R35" s="14" t="n">
        <f aca="false">IF($L35="","",$L35-2018)</f>
        <v>-1</v>
      </c>
      <c r="S35" s="14"/>
    </row>
    <row r="36" customFormat="false" ht="15" hidden="false" customHeight="false" outlineLevel="0" collapsed="false">
      <c r="A36" s="14" t="s">
        <v>151</v>
      </c>
      <c r="B36" s="14" t="s">
        <v>152</v>
      </c>
      <c r="C36" s="15" t="n">
        <v>59</v>
      </c>
      <c r="D36" s="14" t="n">
        <v>2023</v>
      </c>
      <c r="E36" s="16" t="n">
        <v>18406.6242338491</v>
      </c>
      <c r="F36" s="14" t="n">
        <v>2023</v>
      </c>
      <c r="G36" s="17" t="n">
        <f aca="false">LN(E36)</f>
        <v>9.82046589151724</v>
      </c>
      <c r="H36" s="14" t="n">
        <v>2</v>
      </c>
      <c r="I36" s="14" t="s">
        <v>90</v>
      </c>
      <c r="J36" s="14" t="n">
        <v>2023</v>
      </c>
      <c r="K36" s="18" t="n">
        <v>81</v>
      </c>
      <c r="L36" s="14" t="n">
        <v>2015</v>
      </c>
      <c r="M36" s="19" t="str">
        <f aca="false">IF(K36="","Missing","Observed")</f>
        <v>Observed</v>
      </c>
      <c r="N36" s="17" t="n">
        <f aca="false">LN(C36)</f>
        <v>4.07753744390572</v>
      </c>
      <c r="O36" s="14" t="n">
        <f aca="false">IF($H36=1,1,0)</f>
        <v>0</v>
      </c>
      <c r="P36" s="14" t="n">
        <f aca="false">IF($H36=2,1,0)</f>
        <v>1</v>
      </c>
      <c r="Q36" s="14" t="n">
        <f aca="false">IF($H36=3,1,0)</f>
        <v>0</v>
      </c>
      <c r="R36" s="14" t="n">
        <f aca="false">IF($L36="","",$L36-2018)</f>
        <v>-3</v>
      </c>
      <c r="S36" s="14"/>
    </row>
    <row r="37" customFormat="false" ht="15" hidden="false" customHeight="false" outlineLevel="0" collapsed="false">
      <c r="A37" s="14" t="s">
        <v>153</v>
      </c>
      <c r="B37" s="14" t="s">
        <v>154</v>
      </c>
      <c r="C37" s="15" t="n">
        <v>179</v>
      </c>
      <c r="D37" s="14" t="n">
        <v>2023</v>
      </c>
      <c r="E37" s="16" t="n">
        <v>3508.15862331545</v>
      </c>
      <c r="F37" s="14" t="n">
        <v>2023</v>
      </c>
      <c r="G37" s="17" t="n">
        <f aca="false">LN(E37)</f>
        <v>8.16284657006256</v>
      </c>
      <c r="H37" s="14" t="n">
        <v>1</v>
      </c>
      <c r="I37" s="14" t="s">
        <v>93</v>
      </c>
      <c r="J37" s="14" t="n">
        <v>2023</v>
      </c>
      <c r="K37" s="18" t="n">
        <v>11.6</v>
      </c>
      <c r="L37" s="14" t="n">
        <v>2022</v>
      </c>
      <c r="M37" s="19" t="str">
        <f aca="false">IF(K37="","Missing","Observed")</f>
        <v>Observed</v>
      </c>
      <c r="N37" s="17" t="n">
        <f aca="false">LN(C37)</f>
        <v>5.18738580584076</v>
      </c>
      <c r="O37" s="14" t="n">
        <f aca="false">IF($H37=1,1,0)</f>
        <v>1</v>
      </c>
      <c r="P37" s="14" t="n">
        <f aca="false">IF($H37=2,1,0)</f>
        <v>0</v>
      </c>
      <c r="Q37" s="14" t="n">
        <f aca="false">IF($H37=3,1,0)</f>
        <v>0</v>
      </c>
      <c r="R37" s="14" t="n">
        <f aca="false">IF($L37="","",$L37-2018)</f>
        <v>4</v>
      </c>
      <c r="S37" s="14"/>
    </row>
    <row r="38" customFormat="false" ht="15" hidden="false" customHeight="false" outlineLevel="0" collapsed="false">
      <c r="A38" s="14" t="s">
        <v>155</v>
      </c>
      <c r="B38" s="14" t="s">
        <v>156</v>
      </c>
      <c r="C38" s="15" t="n">
        <v>427</v>
      </c>
      <c r="D38" s="14" t="n">
        <v>2023</v>
      </c>
      <c r="E38" s="16" t="n">
        <v>1559.33806475859</v>
      </c>
      <c r="F38" s="14" t="n">
        <v>2023</v>
      </c>
      <c r="G38" s="17" t="n">
        <f aca="false">LN(E38)</f>
        <v>7.35201669273301</v>
      </c>
      <c r="H38" s="14" t="n">
        <v>1</v>
      </c>
      <c r="I38" s="14" t="s">
        <v>93</v>
      </c>
      <c r="J38" s="14" t="n">
        <v>2023</v>
      </c>
      <c r="K38" s="18" t="n">
        <v>28.1286863587728</v>
      </c>
      <c r="L38" s="14" t="n">
        <v>2018</v>
      </c>
      <c r="M38" s="19" t="str">
        <f aca="false">IF(K38="","Missing","Observed")</f>
        <v>Observed</v>
      </c>
      <c r="N38" s="17" t="n">
        <f aca="false">LN(C38)</f>
        <v>6.05678401322863</v>
      </c>
      <c r="O38" s="14" t="n">
        <f aca="false">IF($H38=1,1,0)</f>
        <v>1</v>
      </c>
      <c r="P38" s="14" t="n">
        <f aca="false">IF($H38=2,1,0)</f>
        <v>0</v>
      </c>
      <c r="Q38" s="14" t="n">
        <f aca="false">IF($H38=3,1,0)</f>
        <v>0</v>
      </c>
      <c r="R38" s="14" t="n">
        <f aca="false">IF($L38="","",$L38-2018)</f>
        <v>0</v>
      </c>
      <c r="S38" s="14"/>
    </row>
    <row r="39" customFormat="false" ht="15" hidden="false" customHeight="false" outlineLevel="0" collapsed="false">
      <c r="A39" s="14" t="s">
        <v>157</v>
      </c>
      <c r="B39" s="14" t="s">
        <v>158</v>
      </c>
      <c r="C39" s="15" t="n">
        <v>241</v>
      </c>
      <c r="D39" s="14" t="n">
        <v>2023</v>
      </c>
      <c r="E39" s="16" t="n">
        <v>6172.28776650683</v>
      </c>
      <c r="F39" s="14" t="n">
        <v>2023</v>
      </c>
      <c r="G39" s="17" t="n">
        <f aca="false">LN(E39)</f>
        <v>8.7278248369112</v>
      </c>
      <c r="H39" s="14" t="n">
        <v>1</v>
      </c>
      <c r="I39" s="14" t="s">
        <v>93</v>
      </c>
      <c r="J39" s="14" t="n">
        <v>2023</v>
      </c>
      <c r="K39" s="18" t="n">
        <v>30.11949285</v>
      </c>
      <c r="L39" s="14" t="n">
        <v>2015</v>
      </c>
      <c r="M39" s="19" t="str">
        <f aca="false">IF(K39="","Missing","Observed")</f>
        <v>Observed</v>
      </c>
      <c r="N39" s="17" t="n">
        <f aca="false">LN(C39)</f>
        <v>5.48479693349066</v>
      </c>
      <c r="O39" s="14" t="n">
        <f aca="false">IF($H39=1,1,0)</f>
        <v>1</v>
      </c>
      <c r="P39" s="14" t="n">
        <f aca="false">IF($H39=2,1,0)</f>
        <v>0</v>
      </c>
      <c r="Q39" s="14" t="n">
        <f aca="false">IF($H39=3,1,0)</f>
        <v>0</v>
      </c>
      <c r="R39" s="14" t="n">
        <f aca="false">IF($L39="","",$L39-2018)</f>
        <v>-3</v>
      </c>
      <c r="S39" s="14"/>
    </row>
    <row r="40" customFormat="false" ht="15" hidden="false" customHeight="false" outlineLevel="0" collapsed="false">
      <c r="A40" s="14" t="s">
        <v>159</v>
      </c>
      <c r="B40" s="14" t="s">
        <v>160</v>
      </c>
      <c r="C40" s="15" t="n">
        <v>24</v>
      </c>
      <c r="D40" s="14" t="n">
        <v>2023</v>
      </c>
      <c r="E40" s="16" t="n">
        <v>26378.5409941926</v>
      </c>
      <c r="F40" s="14" t="n">
        <v>2023</v>
      </c>
      <c r="G40" s="17" t="n">
        <f aca="false">LN(E40)</f>
        <v>10.1803061174709</v>
      </c>
      <c r="H40" s="14" t="n">
        <v>3</v>
      </c>
      <c r="I40" s="14" t="s">
        <v>102</v>
      </c>
      <c r="J40" s="14" t="n">
        <v>2023</v>
      </c>
      <c r="K40" s="18" t="n">
        <v>70.9</v>
      </c>
      <c r="L40" s="14" t="n">
        <v>2018</v>
      </c>
      <c r="M40" s="19" t="str">
        <f aca="false">IF(K40="","Missing","Observed")</f>
        <v>Observed</v>
      </c>
      <c r="N40" s="17" t="n">
        <f aca="false">LN(C40)</f>
        <v>3.17805383034795</v>
      </c>
      <c r="O40" s="14" t="n">
        <f aca="false">IF($H40=1,1,0)</f>
        <v>0</v>
      </c>
      <c r="P40" s="14" t="n">
        <f aca="false">IF($H40=2,1,0)</f>
        <v>0</v>
      </c>
      <c r="Q40" s="14" t="n">
        <f aca="false">IF($H40=3,1,0)</f>
        <v>1</v>
      </c>
      <c r="R40" s="14" t="n">
        <f aca="false">IF($L40="","",$L40-2018)</f>
        <v>0</v>
      </c>
      <c r="S40" s="14"/>
    </row>
    <row r="41" customFormat="false" ht="15" hidden="false" customHeight="false" outlineLevel="0" collapsed="false">
      <c r="A41" s="14" t="s">
        <v>161</v>
      </c>
      <c r="B41" s="14" t="s">
        <v>162</v>
      </c>
      <c r="C41" s="15" t="n">
        <v>359</v>
      </c>
      <c r="D41" s="14" t="n">
        <v>2023</v>
      </c>
      <c r="E41" s="16" t="n">
        <v>6520.89886459765</v>
      </c>
      <c r="F41" s="14" t="n">
        <v>2023</v>
      </c>
      <c r="G41" s="17" t="n">
        <f aca="false">LN(E41)</f>
        <v>8.78276750808687</v>
      </c>
      <c r="H41" s="14" t="n">
        <v>1</v>
      </c>
      <c r="I41" s="14" t="s">
        <v>93</v>
      </c>
      <c r="J41" s="14" t="n">
        <v>2023</v>
      </c>
      <c r="K41" s="18" t="n">
        <v>31.9711571456027</v>
      </c>
      <c r="L41" s="14" t="n">
        <v>2022</v>
      </c>
      <c r="M41" s="19" t="str">
        <f aca="false">IF(K41="","Missing","Observed")</f>
        <v>Observed</v>
      </c>
      <c r="N41" s="17" t="n">
        <f aca="false">LN(C41)</f>
        <v>5.88332238848828</v>
      </c>
      <c r="O41" s="14" t="n">
        <f aca="false">IF($H41=1,1,0)</f>
        <v>1</v>
      </c>
      <c r="P41" s="14" t="n">
        <f aca="false">IF($H41=2,1,0)</f>
        <v>0</v>
      </c>
      <c r="Q41" s="14" t="n">
        <f aca="false">IF($H41=3,1,0)</f>
        <v>0</v>
      </c>
      <c r="R41" s="14" t="n">
        <f aca="false">IF($L41="","",$L41-2018)</f>
        <v>4</v>
      </c>
      <c r="S41" s="14"/>
    </row>
    <row r="42" customFormat="false" ht="15" hidden="false" customHeight="false" outlineLevel="0" collapsed="false">
      <c r="A42" s="14" t="s">
        <v>163</v>
      </c>
      <c r="B42" s="14" t="s">
        <v>164</v>
      </c>
      <c r="C42" s="15" t="n">
        <v>3</v>
      </c>
      <c r="D42" s="14" t="n">
        <v>2023</v>
      </c>
      <c r="E42" s="16" t="n">
        <v>41320.257995772</v>
      </c>
      <c r="F42" s="14" t="n">
        <v>2023</v>
      </c>
      <c r="G42" s="17" t="n">
        <f aca="false">LN(E42)</f>
        <v>10.6291081670614</v>
      </c>
      <c r="H42" s="14" t="n">
        <v>2</v>
      </c>
      <c r="I42" s="14" t="s">
        <v>90</v>
      </c>
      <c r="J42" s="14" t="n">
        <v>2023</v>
      </c>
      <c r="K42" s="18"/>
      <c r="L42" s="14"/>
      <c r="M42" s="19" t="str">
        <f aca="false">IF(K42="","Missing","Observed")</f>
        <v>Missing</v>
      </c>
      <c r="N42" s="17" t="n">
        <f aca="false">LN(C42)</f>
        <v>1.09861228866811</v>
      </c>
      <c r="O42" s="14" t="n">
        <f aca="false">IF($H42=1,1,0)</f>
        <v>0</v>
      </c>
      <c r="P42" s="14" t="n">
        <f aca="false">IF($H42=2,1,0)</f>
        <v>1</v>
      </c>
      <c r="Q42" s="14" t="n">
        <f aca="false">IF($H42=3,1,0)</f>
        <v>0</v>
      </c>
      <c r="R42" s="14" t="str">
        <f aca="false">IF($L42="","",$L42-2018)</f>
        <v/>
      </c>
      <c r="S42" s="14"/>
    </row>
    <row r="43" customFormat="false" ht="15" hidden="false" customHeight="false" outlineLevel="0" collapsed="false">
      <c r="A43" s="14" t="s">
        <v>165</v>
      </c>
      <c r="B43" s="14" t="s">
        <v>166</v>
      </c>
      <c r="C43" s="15" t="n">
        <v>14</v>
      </c>
      <c r="D43" s="14" t="n">
        <v>2023</v>
      </c>
      <c r="E43" s="16" t="n">
        <v>51674.90234375</v>
      </c>
      <c r="F43" s="14" t="n">
        <v>2023</v>
      </c>
      <c r="G43" s="17" t="n">
        <f aca="false">LN(E43)</f>
        <v>10.852727494732</v>
      </c>
      <c r="H43" s="14" t="n">
        <v>3</v>
      </c>
      <c r="I43" s="14" t="s">
        <v>102</v>
      </c>
      <c r="J43" s="14" t="n">
        <v>2023</v>
      </c>
      <c r="K43" s="18"/>
      <c r="L43" s="14"/>
      <c r="M43" s="19" t="str">
        <f aca="false">IF(K43="","Missing","Observed")</f>
        <v>Missing</v>
      </c>
      <c r="N43" s="17" t="n">
        <f aca="false">LN(C43)</f>
        <v>2.63905732961526</v>
      </c>
      <c r="O43" s="14" t="n">
        <f aca="false">IF($H43=1,1,0)</f>
        <v>0</v>
      </c>
      <c r="P43" s="14" t="n">
        <f aca="false">IF($H43=2,1,0)</f>
        <v>0</v>
      </c>
      <c r="Q43" s="14" t="n">
        <f aca="false">IF($H43=3,1,0)</f>
        <v>1</v>
      </c>
      <c r="R43" s="14" t="str">
        <f aca="false">IF($L43="","",$L43-2018)</f>
        <v/>
      </c>
      <c r="S43" s="14"/>
    </row>
    <row r="44" customFormat="false" ht="15" hidden="false" customHeight="false" outlineLevel="0" collapsed="false">
      <c r="A44" s="14" t="s">
        <v>167</v>
      </c>
      <c r="B44" s="14" t="s">
        <v>168</v>
      </c>
      <c r="C44" s="15" t="n">
        <v>3</v>
      </c>
      <c r="D44" s="14" t="n">
        <v>2023</v>
      </c>
      <c r="E44" s="16" t="n">
        <v>47558.4106763314</v>
      </c>
      <c r="F44" s="14" t="n">
        <v>2023</v>
      </c>
      <c r="G44" s="17" t="n">
        <f aca="false">LN(E44)</f>
        <v>10.7697139330119</v>
      </c>
      <c r="H44" s="14" t="n">
        <v>3</v>
      </c>
      <c r="I44" s="14" t="s">
        <v>102</v>
      </c>
      <c r="J44" s="14" t="n">
        <v>2023</v>
      </c>
      <c r="K44" s="18"/>
      <c r="L44" s="14"/>
      <c r="M44" s="19" t="str">
        <f aca="false">IF(K44="","Missing","Observed")</f>
        <v>Missing</v>
      </c>
      <c r="N44" s="17" t="n">
        <f aca="false">LN(C44)</f>
        <v>1.09861228866811</v>
      </c>
      <c r="O44" s="14" t="n">
        <f aca="false">IF($H44=1,1,0)</f>
        <v>0</v>
      </c>
      <c r="P44" s="14" t="n">
        <f aca="false">IF($H44=2,1,0)</f>
        <v>0</v>
      </c>
      <c r="Q44" s="14" t="n">
        <f aca="false">IF($H44=3,1,0)</f>
        <v>1</v>
      </c>
      <c r="R44" s="14" t="str">
        <f aca="false">IF($L44="","",$L44-2018)</f>
        <v/>
      </c>
      <c r="S44" s="14"/>
    </row>
    <row r="45" customFormat="false" ht="15" hidden="false" customHeight="false" outlineLevel="0" collapsed="false">
      <c r="A45" s="14" t="s">
        <v>169</v>
      </c>
      <c r="B45" s="14" t="s">
        <v>170</v>
      </c>
      <c r="C45" s="15" t="n">
        <v>4</v>
      </c>
      <c r="D45" s="14" t="n">
        <v>2023</v>
      </c>
      <c r="E45" s="16" t="n">
        <v>68993.9031100362</v>
      </c>
      <c r="F45" s="14" t="n">
        <v>2023</v>
      </c>
      <c r="G45" s="17" t="n">
        <f aca="false">LN(E45)</f>
        <v>11.1417734189512</v>
      </c>
      <c r="H45" s="14" t="n">
        <v>3</v>
      </c>
      <c r="I45" s="14" t="s">
        <v>102</v>
      </c>
      <c r="J45" s="14" t="n">
        <v>2023</v>
      </c>
      <c r="K45" s="18"/>
      <c r="L45" s="14"/>
      <c r="M45" s="19" t="str">
        <f aca="false">IF(K45="","Missing","Observed")</f>
        <v>Missing</v>
      </c>
      <c r="N45" s="17" t="n">
        <f aca="false">LN(C45)</f>
        <v>1.38629436111989</v>
      </c>
      <c r="O45" s="14" t="n">
        <f aca="false">IF($H45=1,1,0)</f>
        <v>0</v>
      </c>
      <c r="P45" s="14" t="n">
        <f aca="false">IF($H45=2,1,0)</f>
        <v>0</v>
      </c>
      <c r="Q45" s="14" t="n">
        <f aca="false">IF($H45=3,1,0)</f>
        <v>1</v>
      </c>
      <c r="R45" s="14" t="str">
        <f aca="false">IF($L45="","",$L45-2018)</f>
        <v/>
      </c>
      <c r="S45" s="14"/>
    </row>
    <row r="46" customFormat="false" ht="15" hidden="false" customHeight="false" outlineLevel="0" collapsed="false">
      <c r="A46" s="14" t="s">
        <v>171</v>
      </c>
      <c r="B46" s="14" t="s">
        <v>172</v>
      </c>
      <c r="C46" s="15" t="n">
        <v>162</v>
      </c>
      <c r="D46" s="14" t="n">
        <v>2023</v>
      </c>
      <c r="E46" s="16" t="n">
        <v>6510.67859061619</v>
      </c>
      <c r="F46" s="14" t="n">
        <v>2023</v>
      </c>
      <c r="G46" s="17" t="n">
        <f aca="false">LN(E46)</f>
        <v>8.78119896796008</v>
      </c>
      <c r="H46" s="14" t="n">
        <v>1</v>
      </c>
      <c r="I46" s="14" t="s">
        <v>93</v>
      </c>
      <c r="J46" s="14" t="n">
        <v>2023</v>
      </c>
      <c r="K46" s="18" t="n">
        <v>19</v>
      </c>
      <c r="L46" s="14" t="n">
        <v>2012</v>
      </c>
      <c r="M46" s="19" t="str">
        <f aca="false">IF(K46="","Missing","Observed")</f>
        <v>Observed</v>
      </c>
      <c r="N46" s="17" t="n">
        <f aca="false">LN(C46)</f>
        <v>5.08759633523238</v>
      </c>
      <c r="O46" s="14" t="n">
        <f aca="false">IF($H46=1,1,0)</f>
        <v>1</v>
      </c>
      <c r="P46" s="14" t="n">
        <f aca="false">IF($H46=2,1,0)</f>
        <v>0</v>
      </c>
      <c r="Q46" s="14" t="n">
        <f aca="false">IF($H46=3,1,0)</f>
        <v>0</v>
      </c>
      <c r="R46" s="14" t="n">
        <f aca="false">IF($L46="","",$L46-2018)</f>
        <v>-6</v>
      </c>
      <c r="S46" s="14"/>
    </row>
    <row r="47" customFormat="false" ht="15" hidden="false" customHeight="false" outlineLevel="0" collapsed="false">
      <c r="A47" s="14" t="s">
        <v>173</v>
      </c>
      <c r="B47" s="14" t="s">
        <v>174</v>
      </c>
      <c r="C47" s="15" t="n">
        <v>124</v>
      </c>
      <c r="D47" s="14" t="n">
        <v>2023</v>
      </c>
      <c r="E47" s="16" t="n">
        <v>23282.4895071054</v>
      </c>
      <c r="F47" s="14" t="n">
        <v>2023</v>
      </c>
      <c r="G47" s="17" t="n">
        <f aca="false">LN(E47)</f>
        <v>10.0554568337184</v>
      </c>
      <c r="H47" s="14" t="n">
        <v>2</v>
      </c>
      <c r="I47" s="14" t="s">
        <v>90</v>
      </c>
      <c r="J47" s="14" t="n">
        <v>2023</v>
      </c>
      <c r="K47" s="18" t="n">
        <v>62.7779892966591</v>
      </c>
      <c r="L47" s="14" t="n">
        <v>2019</v>
      </c>
      <c r="M47" s="19" t="str">
        <f aca="false">IF(K47="","Missing","Observed")</f>
        <v>Observed</v>
      </c>
      <c r="N47" s="17" t="n">
        <f aca="false">LN(C47)</f>
        <v>4.82028156560504</v>
      </c>
      <c r="O47" s="14" t="n">
        <f aca="false">IF($H47=1,1,0)</f>
        <v>0</v>
      </c>
      <c r="P47" s="14" t="n">
        <f aca="false">IF($H47=2,1,0)</f>
        <v>1</v>
      </c>
      <c r="Q47" s="14" t="n">
        <f aca="false">IF($H47=3,1,0)</f>
        <v>0</v>
      </c>
      <c r="R47" s="14" t="n">
        <f aca="false">IF($L47="","",$L47-2018)</f>
        <v>1</v>
      </c>
      <c r="S47" s="14"/>
    </row>
    <row r="48" customFormat="false" ht="15" hidden="false" customHeight="false" outlineLevel="0" collapsed="false">
      <c r="A48" s="14" t="s">
        <v>175</v>
      </c>
      <c r="B48" s="14" t="s">
        <v>176</v>
      </c>
      <c r="C48" s="15" t="n">
        <v>55</v>
      </c>
      <c r="D48" s="14" t="n">
        <v>2023</v>
      </c>
      <c r="E48" s="16" t="n">
        <v>14321.1648295611</v>
      </c>
      <c r="F48" s="14" t="n">
        <v>2023</v>
      </c>
      <c r="G48" s="17" t="n">
        <f aca="false">LN(E48)</f>
        <v>9.56949378005293</v>
      </c>
      <c r="H48" s="14" t="n">
        <v>2</v>
      </c>
      <c r="I48" s="14" t="s">
        <v>90</v>
      </c>
      <c r="J48" s="14" t="n">
        <v>2023</v>
      </c>
      <c r="K48" s="18" t="n">
        <v>77.8500417459495</v>
      </c>
      <c r="L48" s="14" t="n">
        <v>2018</v>
      </c>
      <c r="M48" s="19" t="str">
        <f aca="false">IF(K48="","Missing","Observed")</f>
        <v>Observed</v>
      </c>
      <c r="N48" s="17" t="n">
        <f aca="false">LN(C48)</f>
        <v>4.00733318523247</v>
      </c>
      <c r="O48" s="14" t="n">
        <f aca="false">IF($H48=1,1,0)</f>
        <v>0</v>
      </c>
      <c r="P48" s="14" t="n">
        <f aca="false">IF($H48=2,1,0)</f>
        <v>1</v>
      </c>
      <c r="Q48" s="14" t="n">
        <f aca="false">IF($H48=3,1,0)</f>
        <v>0</v>
      </c>
      <c r="R48" s="14" t="n">
        <f aca="false">IF($L48="","",$L48-2018)</f>
        <v>0</v>
      </c>
      <c r="S48" s="14"/>
    </row>
    <row r="49" customFormat="false" ht="15" hidden="false" customHeight="false" outlineLevel="0" collapsed="false">
      <c r="A49" s="14" t="s">
        <v>177</v>
      </c>
      <c r="B49" s="14" t="s">
        <v>178</v>
      </c>
      <c r="C49" s="15" t="n">
        <v>17</v>
      </c>
      <c r="D49" s="14" t="n">
        <v>2023</v>
      </c>
      <c r="E49" s="16" t="n">
        <v>16691.3873991962</v>
      </c>
      <c r="F49" s="14" t="n">
        <v>2023</v>
      </c>
      <c r="G49" s="17" t="n">
        <f aca="false">LN(E49)</f>
        <v>9.72264814077415</v>
      </c>
      <c r="H49" s="14" t="n">
        <v>1</v>
      </c>
      <c r="I49" s="14" t="s">
        <v>93</v>
      </c>
      <c r="J49" s="14" t="n">
        <v>2023</v>
      </c>
      <c r="K49" s="18" t="n">
        <v>58.5</v>
      </c>
      <c r="L49" s="14" t="n">
        <v>2014</v>
      </c>
      <c r="M49" s="19" t="str">
        <f aca="false">IF(K49="","Missing","Observed")</f>
        <v>Observed</v>
      </c>
      <c r="N49" s="17" t="n">
        <f aca="false">LN(C49)</f>
        <v>2.83321334405622</v>
      </c>
      <c r="O49" s="14" t="n">
        <f aca="false">IF($H49=1,1,0)</f>
        <v>1</v>
      </c>
      <c r="P49" s="14" t="n">
        <f aca="false">IF($H49=2,1,0)</f>
        <v>0</v>
      </c>
      <c r="Q49" s="14" t="n">
        <f aca="false">IF($H49=3,1,0)</f>
        <v>0</v>
      </c>
      <c r="R49" s="14" t="n">
        <f aca="false">IF($L49="","",$L49-2018)</f>
        <v>-4</v>
      </c>
      <c r="S49" s="14"/>
    </row>
    <row r="50" customFormat="false" ht="15" hidden="false" customHeight="false" outlineLevel="0" collapsed="false">
      <c r="A50" s="14" t="s">
        <v>179</v>
      </c>
      <c r="B50" s="14" t="s">
        <v>180</v>
      </c>
      <c r="C50" s="15" t="n">
        <v>39</v>
      </c>
      <c r="D50" s="14" t="n">
        <v>2023</v>
      </c>
      <c r="E50" s="16" t="n">
        <v>11404.3342262685</v>
      </c>
      <c r="F50" s="14" t="n">
        <v>2023</v>
      </c>
      <c r="G50" s="17" t="n">
        <f aca="false">LN(E50)</f>
        <v>9.34174875741338</v>
      </c>
      <c r="H50" s="14" t="n">
        <v>1</v>
      </c>
      <c r="I50" s="14" t="s">
        <v>93</v>
      </c>
      <c r="J50" s="14" t="n">
        <v>2023</v>
      </c>
      <c r="K50" s="18" t="n">
        <v>53.6</v>
      </c>
      <c r="L50" s="14" t="n">
        <v>2021</v>
      </c>
      <c r="M50" s="19" t="str">
        <f aca="false">IF(K50="","Missing","Observed")</f>
        <v>Observed</v>
      </c>
      <c r="N50" s="17" t="n">
        <f aca="false">LN(C50)</f>
        <v>3.66356164612965</v>
      </c>
      <c r="O50" s="14" t="n">
        <f aca="false">IF($H50=1,1,0)</f>
        <v>1</v>
      </c>
      <c r="P50" s="14" t="n">
        <f aca="false">IF($H50=2,1,0)</f>
        <v>0</v>
      </c>
      <c r="Q50" s="14" t="n">
        <f aca="false">IF($H50=3,1,0)</f>
        <v>0</v>
      </c>
      <c r="R50" s="14" t="n">
        <f aca="false">IF($L50="","",$L50-2018)</f>
        <v>3</v>
      </c>
      <c r="S50" s="14"/>
    </row>
    <row r="51" customFormat="false" ht="15" hidden="false" customHeight="false" outlineLevel="0" collapsed="false">
      <c r="A51" s="14" t="s">
        <v>181</v>
      </c>
      <c r="B51" s="14" t="s">
        <v>182</v>
      </c>
      <c r="C51" s="15" t="n">
        <v>174</v>
      </c>
      <c r="D51" s="14" t="n">
        <v>2023</v>
      </c>
      <c r="E51" s="16" t="n">
        <v>15302.1517835147</v>
      </c>
      <c r="F51" s="14" t="n">
        <v>2023</v>
      </c>
      <c r="G51" s="17" t="n">
        <f aca="false">LN(E51)</f>
        <v>9.63574873693713</v>
      </c>
      <c r="H51" s="14" t="n">
        <v>1</v>
      </c>
      <c r="I51" s="14" t="s">
        <v>93</v>
      </c>
      <c r="J51" s="14" t="n">
        <v>2023</v>
      </c>
      <c r="K51" s="18" t="n">
        <v>12.6</v>
      </c>
      <c r="L51" s="14" t="n">
        <v>2011</v>
      </c>
      <c r="M51" s="19" t="str">
        <f aca="false">IF(K51="","Missing","Observed")</f>
        <v>Observed</v>
      </c>
      <c r="N51" s="17" t="n">
        <f aca="false">LN(C51)</f>
        <v>5.15905529921453</v>
      </c>
      <c r="O51" s="14" t="n">
        <f aca="false">IF($H51=1,1,0)</f>
        <v>1</v>
      </c>
      <c r="P51" s="14" t="n">
        <f aca="false">IF($H51=2,1,0)</f>
        <v>0</v>
      </c>
      <c r="Q51" s="14" t="n">
        <f aca="false">IF($H51=3,1,0)</f>
        <v>0</v>
      </c>
      <c r="R51" s="14" t="n">
        <f aca="false">IF($L51="","",$L51-2018)</f>
        <v>-7</v>
      </c>
      <c r="S51" s="14"/>
    </row>
    <row r="52" customFormat="false" ht="15" hidden="false" customHeight="false" outlineLevel="0" collapsed="false">
      <c r="A52" s="14" t="s">
        <v>183</v>
      </c>
      <c r="B52" s="14" t="s">
        <v>184</v>
      </c>
      <c r="C52" s="15" t="n">
        <v>5</v>
      </c>
      <c r="D52" s="14" t="n">
        <v>2023</v>
      </c>
      <c r="E52" s="16" t="n">
        <v>41284.7746875532</v>
      </c>
      <c r="F52" s="14" t="n">
        <v>2023</v>
      </c>
      <c r="G52" s="17" t="n">
        <f aca="false">LN(E52)</f>
        <v>10.6282490593473</v>
      </c>
      <c r="H52" s="14" t="n">
        <v>3</v>
      </c>
      <c r="I52" s="14" t="s">
        <v>102</v>
      </c>
      <c r="J52" s="14" t="n">
        <v>2023</v>
      </c>
      <c r="K52" s="18" t="n">
        <v>75.0978731759999</v>
      </c>
      <c r="L52" s="14" t="n">
        <v>2014</v>
      </c>
      <c r="M52" s="19" t="str">
        <f aca="false">IF(K52="","Missing","Observed")</f>
        <v>Observed</v>
      </c>
      <c r="N52" s="17" t="n">
        <f aca="false">LN(C52)</f>
        <v>1.6094379124341</v>
      </c>
      <c r="O52" s="14" t="n">
        <f aca="false">IF($H52=1,1,0)</f>
        <v>0</v>
      </c>
      <c r="P52" s="14" t="n">
        <f aca="false">IF($H52=2,1,0)</f>
        <v>0</v>
      </c>
      <c r="Q52" s="14" t="n">
        <f aca="false">IF($H52=3,1,0)</f>
        <v>1</v>
      </c>
      <c r="R52" s="14" t="n">
        <f aca="false">IF($L52="","",$L52-2018)</f>
        <v>-4</v>
      </c>
      <c r="S52" s="14"/>
    </row>
    <row r="53" customFormat="false" ht="15" hidden="false" customHeight="false" outlineLevel="0" collapsed="false">
      <c r="A53" s="14" t="s">
        <v>185</v>
      </c>
      <c r="B53" s="14" t="s">
        <v>186</v>
      </c>
      <c r="C53" s="15" t="n">
        <v>118</v>
      </c>
      <c r="D53" s="14" t="n">
        <v>2023</v>
      </c>
      <c r="E53" s="16" t="n">
        <v>10181.5040730397</v>
      </c>
      <c r="F53" s="14" t="n">
        <v>2023</v>
      </c>
      <c r="G53" s="17" t="n">
        <f aca="false">LN(E53)</f>
        <v>9.22832802703368</v>
      </c>
      <c r="H53" s="14" t="n">
        <v>0</v>
      </c>
      <c r="I53" s="14" t="s">
        <v>87</v>
      </c>
      <c r="J53" s="14" t="n">
        <v>2023</v>
      </c>
      <c r="K53" s="18" t="n">
        <v>57.7</v>
      </c>
      <c r="L53" s="14" t="n">
        <v>2022</v>
      </c>
      <c r="M53" s="19" t="str">
        <f aca="false">IF(K53="","Missing","Observed")</f>
        <v>Observed</v>
      </c>
      <c r="N53" s="17" t="n">
        <f aca="false">LN(C53)</f>
        <v>4.77068462446567</v>
      </c>
      <c r="O53" s="14" t="n">
        <f aca="false">IF($H53=1,1,0)</f>
        <v>0</v>
      </c>
      <c r="P53" s="14" t="n">
        <f aca="false">IF($H53=2,1,0)</f>
        <v>0</v>
      </c>
      <c r="Q53" s="14" t="n">
        <f aca="false">IF($H53=3,1,0)</f>
        <v>0</v>
      </c>
      <c r="R53" s="14" t="n">
        <f aca="false">IF($L53="","",$L53-2018)</f>
        <v>4</v>
      </c>
      <c r="S53" s="14"/>
    </row>
    <row r="54" customFormat="false" ht="15" hidden="false" customHeight="false" outlineLevel="0" collapsed="false">
      <c r="A54" s="14" t="s">
        <v>187</v>
      </c>
      <c r="B54" s="14" t="s">
        <v>188</v>
      </c>
      <c r="C54" s="15" t="n">
        <v>195</v>
      </c>
      <c r="D54" s="14" t="n">
        <v>2023</v>
      </c>
      <c r="E54" s="16" t="n">
        <v>2757.95923626099</v>
      </c>
      <c r="F54" s="14" t="n">
        <v>2023</v>
      </c>
      <c r="G54" s="17" t="n">
        <f aca="false">LN(E54)</f>
        <v>7.92224627806309</v>
      </c>
      <c r="H54" s="14" t="n">
        <v>1</v>
      </c>
      <c r="I54" s="14" t="s">
        <v>93</v>
      </c>
      <c r="J54" s="14" t="n">
        <v>2023</v>
      </c>
      <c r="K54" s="18" t="n">
        <v>36.0705648652283</v>
      </c>
      <c r="L54" s="14" t="n">
        <v>2021</v>
      </c>
      <c r="M54" s="19" t="str">
        <f aca="false">IF(K54="","Missing","Observed")</f>
        <v>Observed</v>
      </c>
      <c r="N54" s="17" t="n">
        <f aca="false">LN(C54)</f>
        <v>5.27299955856375</v>
      </c>
      <c r="O54" s="14" t="n">
        <f aca="false">IF($H54=1,1,0)</f>
        <v>1</v>
      </c>
      <c r="P54" s="14" t="n">
        <f aca="false">IF($H54=2,1,0)</f>
        <v>0</v>
      </c>
      <c r="Q54" s="14" t="n">
        <f aca="false">IF($H54=3,1,0)</f>
        <v>0</v>
      </c>
      <c r="R54" s="14" t="n">
        <f aca="false">IF($L54="","",$L54-2018)</f>
        <v>3</v>
      </c>
      <c r="S54" s="14"/>
    </row>
    <row r="55" customFormat="false" ht="15" hidden="false" customHeight="false" outlineLevel="0" collapsed="false">
      <c r="A55" s="14" t="s">
        <v>189</v>
      </c>
      <c r="B55" s="14" t="s">
        <v>190</v>
      </c>
      <c r="C55" s="15" t="n">
        <v>30</v>
      </c>
      <c r="D55" s="14" t="n">
        <v>2023</v>
      </c>
      <c r="E55" s="16" t="n">
        <v>13194.8047570404</v>
      </c>
      <c r="F55" s="14" t="n">
        <v>2023</v>
      </c>
      <c r="G55" s="17" t="n">
        <f aca="false">LN(E55)</f>
        <v>9.48757845208982</v>
      </c>
      <c r="H55" s="14" t="n">
        <v>2</v>
      </c>
      <c r="I55" s="14" t="s">
        <v>90</v>
      </c>
      <c r="J55" s="14" t="n">
        <v>2023</v>
      </c>
      <c r="K55" s="18" t="n">
        <v>35.4</v>
      </c>
      <c r="L55" s="14" t="n">
        <v>2021</v>
      </c>
      <c r="M55" s="19" t="str">
        <f aca="false">IF(K55="","Missing","Observed")</f>
        <v>Observed</v>
      </c>
      <c r="N55" s="17" t="n">
        <f aca="false">LN(C55)</f>
        <v>3.40119738166216</v>
      </c>
      <c r="O55" s="14" t="n">
        <f aca="false">IF($H55=1,1,0)</f>
        <v>0</v>
      </c>
      <c r="P55" s="14" t="n">
        <f aca="false">IF($H55=2,1,0)</f>
        <v>1</v>
      </c>
      <c r="Q55" s="14" t="n">
        <f aca="false">IF($H55=3,1,0)</f>
        <v>0</v>
      </c>
      <c r="R55" s="14" t="n">
        <f aca="false">IF($L55="","",$L55-2018)</f>
        <v>3</v>
      </c>
      <c r="S55" s="14"/>
    </row>
    <row r="56" customFormat="false" ht="15" hidden="false" customHeight="false" outlineLevel="0" collapsed="false">
      <c r="A56" s="14" t="s">
        <v>191</v>
      </c>
      <c r="B56" s="14" t="s">
        <v>192</v>
      </c>
      <c r="C56" s="15" t="n">
        <v>8</v>
      </c>
      <c r="D56" s="14" t="n">
        <v>2023</v>
      </c>
      <c r="E56" s="16" t="n">
        <v>56051.7701129501</v>
      </c>
      <c r="F56" s="14" t="n">
        <v>2023</v>
      </c>
      <c r="G56" s="17" t="n">
        <f aca="false">LN(E56)</f>
        <v>10.9340310089642</v>
      </c>
      <c r="H56" s="14" t="n">
        <v>3</v>
      </c>
      <c r="I56" s="14" t="s">
        <v>102</v>
      </c>
      <c r="J56" s="14" t="n">
        <v>2023</v>
      </c>
      <c r="K56" s="18" t="n">
        <v>85.4748603351955</v>
      </c>
      <c r="L56" s="14" t="n">
        <v>2015</v>
      </c>
      <c r="M56" s="19" t="str">
        <f aca="false">IF(K56="","Missing","Observed")</f>
        <v>Observed</v>
      </c>
      <c r="N56" s="17" t="n">
        <f aca="false">LN(C56)</f>
        <v>2.07944154167984</v>
      </c>
      <c r="O56" s="14" t="n">
        <f aca="false">IF($H56=1,1,0)</f>
        <v>0</v>
      </c>
      <c r="P56" s="14" t="n">
        <f aca="false">IF($H56=2,1,0)</f>
        <v>0</v>
      </c>
      <c r="Q56" s="14" t="n">
        <f aca="false">IF($H56=3,1,0)</f>
        <v>1</v>
      </c>
      <c r="R56" s="14" t="n">
        <f aca="false">IF($L56="","",$L56-2018)</f>
        <v>-3</v>
      </c>
      <c r="S56" s="14"/>
    </row>
    <row r="57" customFormat="false" ht="15" hidden="false" customHeight="false" outlineLevel="0" collapsed="false">
      <c r="A57" s="14" t="s">
        <v>193</v>
      </c>
      <c r="B57" s="14" t="s">
        <v>194</v>
      </c>
      <c r="C57" s="15" t="n">
        <v>7</v>
      </c>
      <c r="D57" s="14" t="n">
        <v>2023</v>
      </c>
      <c r="E57" s="16" t="n">
        <v>54296.7230897731</v>
      </c>
      <c r="F57" s="14" t="n">
        <v>2023</v>
      </c>
      <c r="G57" s="17" t="n">
        <f aca="false">LN(E57)</f>
        <v>10.9022191558464</v>
      </c>
      <c r="H57" s="14" t="n">
        <v>3</v>
      </c>
      <c r="I57" s="14" t="s">
        <v>102</v>
      </c>
      <c r="J57" s="14" t="n">
        <v>2023</v>
      </c>
      <c r="K57" s="18" t="n">
        <v>78.4</v>
      </c>
      <c r="L57" s="14" t="n">
        <v>2010</v>
      </c>
      <c r="M57" s="19" t="str">
        <f aca="false">IF(K57="","Missing","Observed")</f>
        <v>Observed</v>
      </c>
      <c r="N57" s="17" t="n">
        <f aca="false">LN(C57)</f>
        <v>1.94591014905531</v>
      </c>
      <c r="O57" s="14" t="n">
        <f aca="false">IF($H57=1,1,0)</f>
        <v>0</v>
      </c>
      <c r="P57" s="14" t="n">
        <f aca="false">IF($H57=2,1,0)</f>
        <v>0</v>
      </c>
      <c r="Q57" s="14" t="n">
        <f aca="false">IF($H57=3,1,0)</f>
        <v>1</v>
      </c>
      <c r="R57" s="14" t="n">
        <f aca="false">IF($L57="","",$L57-2018)</f>
        <v>-8</v>
      </c>
      <c r="S57" s="14"/>
    </row>
    <row r="58" customFormat="false" ht="15" hidden="false" customHeight="false" outlineLevel="0" collapsed="false">
      <c r="A58" s="14" t="s">
        <v>195</v>
      </c>
      <c r="B58" s="14" t="s">
        <v>196</v>
      </c>
      <c r="C58" s="15" t="n">
        <v>233</v>
      </c>
      <c r="D58" s="14" t="n">
        <v>2023</v>
      </c>
      <c r="E58" s="16" t="n">
        <v>18701.4227766323</v>
      </c>
      <c r="F58" s="14" t="n">
        <v>2023</v>
      </c>
      <c r="G58" s="17" t="n">
        <f aca="false">LN(E58)</f>
        <v>9.8363548842603</v>
      </c>
      <c r="H58" s="14" t="n">
        <v>0</v>
      </c>
      <c r="I58" s="14" t="s">
        <v>87</v>
      </c>
      <c r="J58" s="14" t="n">
        <v>2023</v>
      </c>
      <c r="K58" s="18" t="n">
        <v>24.8</v>
      </c>
      <c r="L58" s="14" t="n">
        <v>2021</v>
      </c>
      <c r="M58" s="19" t="str">
        <f aca="false">IF(K58="","Missing","Observed")</f>
        <v>Observed</v>
      </c>
      <c r="N58" s="17" t="n">
        <f aca="false">LN(C58)</f>
        <v>5.4510384535657</v>
      </c>
      <c r="O58" s="14" t="n">
        <f aca="false">IF($H58=1,1,0)</f>
        <v>0</v>
      </c>
      <c r="P58" s="14" t="n">
        <f aca="false">IF($H58=2,1,0)</f>
        <v>0</v>
      </c>
      <c r="Q58" s="14" t="n">
        <f aca="false">IF($H58=3,1,0)</f>
        <v>0</v>
      </c>
      <c r="R58" s="14" t="n">
        <f aca="false">IF($L58="","",$L58-2018)</f>
        <v>3</v>
      </c>
      <c r="S58" s="14"/>
    </row>
    <row r="59" customFormat="false" ht="15" hidden="false" customHeight="false" outlineLevel="0" collapsed="false">
      <c r="A59" s="14" t="s">
        <v>197</v>
      </c>
      <c r="B59" s="14" t="s">
        <v>198</v>
      </c>
      <c r="C59" s="15" t="n">
        <v>354</v>
      </c>
      <c r="D59" s="14" t="n">
        <v>2023</v>
      </c>
      <c r="E59" s="16" t="n">
        <v>2963.59873467436</v>
      </c>
      <c r="F59" s="14" t="n">
        <v>2023</v>
      </c>
      <c r="G59" s="17" t="n">
        <f aca="false">LN(E59)</f>
        <v>7.9941595975868</v>
      </c>
      <c r="H59" s="14" t="n">
        <v>2</v>
      </c>
      <c r="I59" s="14" t="s">
        <v>90</v>
      </c>
      <c r="J59" s="14" t="n">
        <v>2023</v>
      </c>
      <c r="K59" s="18" t="n">
        <v>18.9</v>
      </c>
      <c r="L59" s="14" t="n">
        <v>2020</v>
      </c>
      <c r="M59" s="19" t="str">
        <f aca="false">IF(K59="","Missing","Observed")</f>
        <v>Observed</v>
      </c>
      <c r="N59" s="17" t="n">
        <f aca="false">LN(C59)</f>
        <v>5.86929691313377</v>
      </c>
      <c r="O59" s="14" t="n">
        <f aca="false">IF($H59=1,1,0)</f>
        <v>0</v>
      </c>
      <c r="P59" s="14" t="n">
        <f aca="false">IF($H59=2,1,0)</f>
        <v>1</v>
      </c>
      <c r="Q59" s="14" t="n">
        <f aca="false">IF($H59=3,1,0)</f>
        <v>0</v>
      </c>
      <c r="R59" s="14" t="n">
        <f aca="false">IF($L59="","",$L59-2018)</f>
        <v>2</v>
      </c>
      <c r="S59" s="14"/>
    </row>
    <row r="60" customFormat="false" ht="15" hidden="false" customHeight="false" outlineLevel="0" collapsed="false">
      <c r="A60" s="14" t="s">
        <v>199</v>
      </c>
      <c r="B60" s="14" t="s">
        <v>200</v>
      </c>
      <c r="C60" s="15" t="n">
        <v>20</v>
      </c>
      <c r="D60" s="14" t="n">
        <v>2023</v>
      </c>
      <c r="E60" s="16" t="n">
        <v>22590.5293649146</v>
      </c>
      <c r="F60" s="14" t="n">
        <v>2023</v>
      </c>
      <c r="G60" s="17" t="n">
        <f aca="false">LN(E60)</f>
        <v>10.0252860427826</v>
      </c>
      <c r="H60" s="14" t="n">
        <v>2</v>
      </c>
      <c r="I60" s="14" t="s">
        <v>90</v>
      </c>
      <c r="J60" s="14" t="n">
        <v>2023</v>
      </c>
      <c r="K60" s="18" t="n">
        <v>39.25737653</v>
      </c>
      <c r="L60" s="14" t="n">
        <v>2018</v>
      </c>
      <c r="M60" s="19" t="str">
        <f aca="false">IF(K60="","Missing","Observed")</f>
        <v>Observed</v>
      </c>
      <c r="N60" s="17" t="n">
        <f aca="false">LN(C60)</f>
        <v>2.99573227355399</v>
      </c>
      <c r="O60" s="14" t="n">
        <f aca="false">IF($H60=1,1,0)</f>
        <v>0</v>
      </c>
      <c r="P60" s="14" t="n">
        <f aca="false">IF($H60=2,1,0)</f>
        <v>1</v>
      </c>
      <c r="Q60" s="14" t="n">
        <f aca="false">IF($H60=3,1,0)</f>
        <v>0</v>
      </c>
      <c r="R60" s="14" t="n">
        <f aca="false">IF($L60="","",$L60-2018)</f>
        <v>0</v>
      </c>
      <c r="S60" s="14"/>
    </row>
    <row r="61" customFormat="false" ht="15" hidden="false" customHeight="false" outlineLevel="0" collapsed="false">
      <c r="A61" s="14" t="s">
        <v>201</v>
      </c>
      <c r="B61" s="14" t="s">
        <v>202</v>
      </c>
      <c r="C61" s="15" t="n">
        <v>4</v>
      </c>
      <c r="D61" s="14" t="n">
        <v>2023</v>
      </c>
      <c r="E61" s="16" t="n">
        <v>63140.1949099669</v>
      </c>
      <c r="F61" s="14" t="n">
        <v>2023</v>
      </c>
      <c r="G61" s="17" t="n">
        <f aca="false">LN(E61)</f>
        <v>11.0531128490563</v>
      </c>
      <c r="H61" s="14" t="n">
        <v>3</v>
      </c>
      <c r="I61" s="14" t="s">
        <v>102</v>
      </c>
      <c r="J61" s="14" t="n">
        <v>2023</v>
      </c>
      <c r="K61" s="18" t="n">
        <v>80.3</v>
      </c>
      <c r="L61" s="14" t="n">
        <v>2011</v>
      </c>
      <c r="M61" s="19" t="str">
        <f aca="false">IF(K61="","Missing","Observed")</f>
        <v>Observed</v>
      </c>
      <c r="N61" s="17" t="n">
        <f aca="false">LN(C61)</f>
        <v>1.38629436111989</v>
      </c>
      <c r="O61" s="14" t="n">
        <f aca="false">IF($H61=1,1,0)</f>
        <v>0</v>
      </c>
      <c r="P61" s="14" t="n">
        <f aca="false">IF($H61=2,1,0)</f>
        <v>0</v>
      </c>
      <c r="Q61" s="14" t="n">
        <f aca="false">IF($H61=3,1,0)</f>
        <v>1</v>
      </c>
      <c r="R61" s="14" t="n">
        <f aca="false">IF($L61="","",$L61-2018)</f>
        <v>-7</v>
      </c>
      <c r="S61" s="14"/>
    </row>
    <row r="62" customFormat="false" ht="15" hidden="false" customHeight="false" outlineLevel="0" collapsed="false">
      <c r="A62" s="14" t="s">
        <v>203</v>
      </c>
      <c r="B62" s="14" t="s">
        <v>204</v>
      </c>
      <c r="C62" s="15" t="n">
        <v>234</v>
      </c>
      <c r="D62" s="14" t="n">
        <v>2023</v>
      </c>
      <c r="E62" s="16" t="n">
        <v>6808.53775003964</v>
      </c>
      <c r="F62" s="14" t="n">
        <v>2023</v>
      </c>
      <c r="G62" s="17" t="n">
        <f aca="false">LN(E62)</f>
        <v>8.825932655095</v>
      </c>
      <c r="H62" s="14" t="n">
        <v>2</v>
      </c>
      <c r="I62" s="14" t="s">
        <v>90</v>
      </c>
      <c r="J62" s="14" t="n">
        <v>2023</v>
      </c>
      <c r="K62" s="18" t="n">
        <v>36.3</v>
      </c>
      <c r="L62" s="14" t="n">
        <v>2022</v>
      </c>
      <c r="M62" s="19" t="str">
        <f aca="false">IF(K62="","Missing","Observed")</f>
        <v>Observed</v>
      </c>
      <c r="N62" s="17" t="n">
        <f aca="false">LN(C62)</f>
        <v>5.4553211153577</v>
      </c>
      <c r="O62" s="14" t="n">
        <f aca="false">IF($H62=1,1,0)</f>
        <v>0</v>
      </c>
      <c r="P62" s="14" t="n">
        <f aca="false">IF($H62=2,1,0)</f>
        <v>1</v>
      </c>
      <c r="Q62" s="14" t="n">
        <f aca="false">IF($H62=3,1,0)</f>
        <v>0</v>
      </c>
      <c r="R62" s="14" t="n">
        <f aca="false">IF($L62="","",$L62-2018)</f>
        <v>4</v>
      </c>
      <c r="S62" s="14"/>
    </row>
    <row r="63" customFormat="false" ht="15" hidden="false" customHeight="false" outlineLevel="0" collapsed="false">
      <c r="A63" s="14" t="s">
        <v>205</v>
      </c>
      <c r="B63" s="14" t="s">
        <v>206</v>
      </c>
      <c r="C63" s="15" t="n">
        <v>5</v>
      </c>
      <c r="D63" s="14" t="n">
        <v>2023</v>
      </c>
      <c r="E63" s="16" t="n">
        <v>36700.5134631055</v>
      </c>
      <c r="F63" s="14" t="n">
        <v>2023</v>
      </c>
      <c r="G63" s="17" t="n">
        <f aca="false">LN(E63)</f>
        <v>10.5105460247651</v>
      </c>
      <c r="H63" s="14" t="n">
        <v>2</v>
      </c>
      <c r="I63" s="14" t="s">
        <v>90</v>
      </c>
      <c r="J63" s="14" t="n">
        <v>2023</v>
      </c>
      <c r="K63" s="18"/>
      <c r="L63" s="14"/>
      <c r="M63" s="19" t="str">
        <f aca="false">IF(K63="","Missing","Observed")</f>
        <v>Missing</v>
      </c>
      <c r="N63" s="17" t="n">
        <f aca="false">LN(C63)</f>
        <v>1.6094379124341</v>
      </c>
      <c r="O63" s="14" t="n">
        <f aca="false">IF($H63=1,1,0)</f>
        <v>0</v>
      </c>
      <c r="P63" s="14" t="n">
        <f aca="false">IF($H63=2,1,0)</f>
        <v>1</v>
      </c>
      <c r="Q63" s="14" t="n">
        <f aca="false">IF($H63=3,1,0)</f>
        <v>0</v>
      </c>
      <c r="R63" s="14" t="str">
        <f aca="false">IF($L63="","",$L63-2018)</f>
        <v/>
      </c>
      <c r="S63" s="14"/>
    </row>
    <row r="64" customFormat="false" ht="15" hidden="false" customHeight="false" outlineLevel="0" collapsed="false">
      <c r="A64" s="14" t="s">
        <v>207</v>
      </c>
      <c r="B64" s="14" t="s">
        <v>208</v>
      </c>
      <c r="C64" s="15" t="n">
        <v>94</v>
      </c>
      <c r="D64" s="14" t="n">
        <v>2023</v>
      </c>
      <c r="E64" s="16" t="n">
        <v>12380.3715121996</v>
      </c>
      <c r="F64" s="14" t="n">
        <v>2023</v>
      </c>
      <c r="G64" s="17" t="n">
        <f aca="false">LN(E64)</f>
        <v>9.4238675548513</v>
      </c>
      <c r="H64" s="14" t="n">
        <v>2</v>
      </c>
      <c r="I64" s="14" t="s">
        <v>90</v>
      </c>
      <c r="J64" s="14" t="n">
        <v>2023</v>
      </c>
      <c r="K64" s="18" t="n">
        <v>60.6</v>
      </c>
      <c r="L64" s="14" t="n">
        <v>2015</v>
      </c>
      <c r="M64" s="19" t="str">
        <f aca="false">IF(K64="","Missing","Observed")</f>
        <v>Observed</v>
      </c>
      <c r="N64" s="17" t="n">
        <f aca="false">LN(C64)</f>
        <v>4.54329478227</v>
      </c>
      <c r="O64" s="14" t="n">
        <f aca="false">IF($H64=1,1,0)</f>
        <v>0</v>
      </c>
      <c r="P64" s="14" t="n">
        <f aca="false">IF($H64=2,1,0)</f>
        <v>1</v>
      </c>
      <c r="Q64" s="14" t="n">
        <f aca="false">IF($H64=3,1,0)</f>
        <v>0</v>
      </c>
      <c r="R64" s="14" t="n">
        <f aca="false">IF($L64="","",$L64-2018)</f>
        <v>-3</v>
      </c>
      <c r="S64" s="14"/>
    </row>
    <row r="65" customFormat="false" ht="15" hidden="false" customHeight="false" outlineLevel="0" collapsed="false">
      <c r="A65" s="14" t="s">
        <v>209</v>
      </c>
      <c r="B65" s="14" t="s">
        <v>210</v>
      </c>
      <c r="C65" s="15" t="n">
        <v>494</v>
      </c>
      <c r="D65" s="14" t="n">
        <v>2023</v>
      </c>
      <c r="E65" s="16" t="n">
        <v>3904.82395527998</v>
      </c>
      <c r="F65" s="14" t="n">
        <v>2023</v>
      </c>
      <c r="G65" s="17" t="n">
        <f aca="false">LN(E65)</f>
        <v>8.26996797938304</v>
      </c>
      <c r="H65" s="14" t="n">
        <v>0</v>
      </c>
      <c r="I65" s="14" t="s">
        <v>87</v>
      </c>
      <c r="J65" s="14" t="n">
        <v>2023</v>
      </c>
      <c r="K65" s="18" t="n">
        <v>10.9</v>
      </c>
      <c r="L65" s="14" t="n">
        <v>2018</v>
      </c>
      <c r="M65" s="19" t="str">
        <f aca="false">IF(K65="","Missing","Observed")</f>
        <v>Observed</v>
      </c>
      <c r="N65" s="17" t="n">
        <f aca="false">LN(C65)</f>
        <v>6.20253551718792</v>
      </c>
      <c r="O65" s="14" t="n">
        <f aca="false">IF($H65=1,1,0)</f>
        <v>0</v>
      </c>
      <c r="P65" s="14" t="n">
        <f aca="false">IF($H65=2,1,0)</f>
        <v>0</v>
      </c>
      <c r="Q65" s="14" t="n">
        <f aca="false">IF($H65=3,1,0)</f>
        <v>0</v>
      </c>
      <c r="R65" s="14" t="n">
        <f aca="false">IF($L65="","",$L65-2018)</f>
        <v>0</v>
      </c>
      <c r="S65" s="14"/>
    </row>
    <row r="66" customFormat="false" ht="15" hidden="false" customHeight="false" outlineLevel="0" collapsed="false">
      <c r="A66" s="14" t="s">
        <v>211</v>
      </c>
      <c r="B66" s="14" t="s">
        <v>212</v>
      </c>
      <c r="C66" s="15" t="n">
        <v>505</v>
      </c>
      <c r="D66" s="14" t="n">
        <v>2023</v>
      </c>
      <c r="E66" s="16" t="n">
        <v>2660.81444655656</v>
      </c>
      <c r="F66" s="14" t="n">
        <v>2023</v>
      </c>
      <c r="G66" s="17" t="n">
        <f aca="false">LN(E66)</f>
        <v>7.88638753782732</v>
      </c>
      <c r="H66" s="14" t="n">
        <v>1</v>
      </c>
      <c r="I66" s="14" t="s">
        <v>93</v>
      </c>
      <c r="J66" s="14" t="n">
        <v>2023</v>
      </c>
      <c r="K66" s="18" t="n">
        <v>21.201503046269</v>
      </c>
      <c r="L66" s="14" t="n">
        <v>2019</v>
      </c>
      <c r="M66" s="19" t="str">
        <f aca="false">IF(K66="","Missing","Observed")</f>
        <v>Observed</v>
      </c>
      <c r="N66" s="17" t="n">
        <f aca="false">LN(C66)</f>
        <v>6.22455842927536</v>
      </c>
      <c r="O66" s="14" t="n">
        <f aca="false">IF($H66=1,1,0)</f>
        <v>1</v>
      </c>
      <c r="P66" s="14" t="n">
        <f aca="false">IF($H66=2,1,0)</f>
        <v>0</v>
      </c>
      <c r="Q66" s="14" t="n">
        <f aca="false">IF($H66=3,1,0)</f>
        <v>0</v>
      </c>
      <c r="R66" s="14" t="n">
        <f aca="false">IF($L66="","",$L66-2018)</f>
        <v>1</v>
      </c>
      <c r="S66" s="14"/>
    </row>
    <row r="67" customFormat="false" ht="15" hidden="false" customHeight="false" outlineLevel="0" collapsed="false">
      <c r="A67" s="14" t="s">
        <v>213</v>
      </c>
      <c r="B67" s="14" t="s">
        <v>214</v>
      </c>
      <c r="C67" s="15" t="n">
        <v>75</v>
      </c>
      <c r="D67" s="14" t="n">
        <v>2023</v>
      </c>
      <c r="E67" s="16" t="n">
        <v>49312.3603225444</v>
      </c>
      <c r="F67" s="14" t="n">
        <v>2023</v>
      </c>
      <c r="G67" s="17" t="n">
        <f aca="false">LN(E67)</f>
        <v>10.8059300450883</v>
      </c>
      <c r="H67" s="14" t="n">
        <v>1</v>
      </c>
      <c r="I67" s="14" t="s">
        <v>93</v>
      </c>
      <c r="J67" s="14" t="n">
        <v>2023</v>
      </c>
      <c r="K67" s="18" t="n">
        <v>29.8771395174816</v>
      </c>
      <c r="L67" s="14" t="n">
        <v>2020</v>
      </c>
      <c r="M67" s="19" t="str">
        <f aca="false">IF(K67="","Missing","Observed")</f>
        <v>Observed</v>
      </c>
      <c r="N67" s="17" t="n">
        <f aca="false">LN(C67)</f>
        <v>4.31748811353631</v>
      </c>
      <c r="O67" s="14" t="n">
        <f aca="false">IF($H67=1,1,0)</f>
        <v>1</v>
      </c>
      <c r="P67" s="14" t="n">
        <f aca="false">IF($H67=2,1,0)</f>
        <v>0</v>
      </c>
      <c r="Q67" s="14" t="n">
        <f aca="false">IF($H67=3,1,0)</f>
        <v>0</v>
      </c>
      <c r="R67" s="14" t="n">
        <f aca="false">IF($L67="","",$L67-2018)</f>
        <v>2</v>
      </c>
      <c r="S67" s="14"/>
    </row>
    <row r="68" customFormat="false" ht="15" hidden="false" customHeight="false" outlineLevel="0" collapsed="false">
      <c r="A68" s="14" t="s">
        <v>215</v>
      </c>
      <c r="B68" s="14" t="s">
        <v>216</v>
      </c>
      <c r="C68" s="15" t="n">
        <v>328</v>
      </c>
      <c r="D68" s="14" t="n">
        <v>2023</v>
      </c>
      <c r="E68" s="16" t="n">
        <v>2939.1237948199</v>
      </c>
      <c r="F68" s="14" t="n">
        <v>2023</v>
      </c>
      <c r="G68" s="17" t="n">
        <f aca="false">LN(E68)</f>
        <v>7.98586678694044</v>
      </c>
      <c r="H68" s="14" t="n">
        <v>0</v>
      </c>
      <c r="I68" s="14" t="s">
        <v>87</v>
      </c>
      <c r="J68" s="14" t="n">
        <v>2023</v>
      </c>
      <c r="K68" s="18" t="n">
        <v>34.3</v>
      </c>
      <c r="L68" s="14" t="n">
        <v>2017</v>
      </c>
      <c r="M68" s="19" t="str">
        <f aca="false">IF(K68="","Missing","Observed")</f>
        <v>Observed</v>
      </c>
      <c r="N68" s="17" t="n">
        <f aca="false">LN(C68)</f>
        <v>5.79301360838414</v>
      </c>
      <c r="O68" s="14" t="n">
        <f aca="false">IF($H68=1,1,0)</f>
        <v>0</v>
      </c>
      <c r="P68" s="14" t="n">
        <f aca="false">IF($H68=2,1,0)</f>
        <v>0</v>
      </c>
      <c r="Q68" s="14" t="n">
        <f aca="false">IF($H68=3,1,0)</f>
        <v>0</v>
      </c>
      <c r="R68" s="14" t="n">
        <f aca="false">IF($L68="","",$L68-2018)</f>
        <v>-1</v>
      </c>
      <c r="S68" s="14"/>
    </row>
    <row r="69" customFormat="false" ht="15" hidden="false" customHeight="false" outlineLevel="0" collapsed="false">
      <c r="A69" s="14" t="s">
        <v>217</v>
      </c>
      <c r="B69" s="14" t="s">
        <v>218</v>
      </c>
      <c r="C69" s="15" t="n">
        <v>47</v>
      </c>
      <c r="D69" s="14" t="n">
        <v>2023</v>
      </c>
      <c r="E69" s="16" t="n">
        <v>6467.8800352783</v>
      </c>
      <c r="F69" s="14" t="n">
        <v>2023</v>
      </c>
      <c r="G69" s="17" t="n">
        <f aca="false">LN(E69)</f>
        <v>8.77460367310358</v>
      </c>
      <c r="H69" s="14" t="n">
        <v>2</v>
      </c>
      <c r="I69" s="14" t="s">
        <v>90</v>
      </c>
      <c r="J69" s="14" t="n">
        <v>2023</v>
      </c>
      <c r="K69" s="18" t="n">
        <v>69.3736806153714</v>
      </c>
      <c r="L69" s="14" t="n">
        <v>2019</v>
      </c>
      <c r="M69" s="19" t="str">
        <f aca="false">IF(K69="","Missing","Observed")</f>
        <v>Observed</v>
      </c>
      <c r="N69" s="17" t="n">
        <f aca="false">LN(C69)</f>
        <v>3.85014760171006</v>
      </c>
      <c r="O69" s="14" t="n">
        <f aca="false">IF($H69=1,1,0)</f>
        <v>0</v>
      </c>
      <c r="P69" s="14" t="n">
        <f aca="false">IF($H69=2,1,0)</f>
        <v>1</v>
      </c>
      <c r="Q69" s="14" t="n">
        <f aca="false">IF($H69=3,1,0)</f>
        <v>0</v>
      </c>
      <c r="R69" s="14" t="n">
        <f aca="false">IF($L69="","",$L69-2018)</f>
        <v>1</v>
      </c>
      <c r="S69" s="14"/>
    </row>
    <row r="70" customFormat="false" ht="15" hidden="false" customHeight="false" outlineLevel="0" collapsed="false">
      <c r="A70" s="14" t="s">
        <v>219</v>
      </c>
      <c r="B70" s="14" t="s">
        <v>220</v>
      </c>
      <c r="C70" s="15" t="n">
        <v>12</v>
      </c>
      <c r="D70" s="14" t="n">
        <v>2023</v>
      </c>
      <c r="E70" s="16" t="n">
        <v>40333.2546888118</v>
      </c>
      <c r="F70" s="14" t="n">
        <v>2023</v>
      </c>
      <c r="G70" s="17" t="n">
        <f aca="false">LN(E70)</f>
        <v>10.6049315860447</v>
      </c>
      <c r="H70" s="14" t="n">
        <v>1</v>
      </c>
      <c r="I70" s="14" t="s">
        <v>93</v>
      </c>
      <c r="J70" s="14" t="n">
        <v>2023</v>
      </c>
      <c r="K70" s="18"/>
      <c r="L70" s="14"/>
      <c r="M70" s="19" t="str">
        <f aca="false">IF(K70="","Missing","Observed")</f>
        <v>Missing</v>
      </c>
      <c r="N70" s="17" t="n">
        <f aca="false">LN(C70)</f>
        <v>2.484906649788</v>
      </c>
      <c r="O70" s="14" t="n">
        <f aca="false">IF($H70=1,1,0)</f>
        <v>1</v>
      </c>
      <c r="P70" s="14" t="n">
        <f aca="false">IF($H70=2,1,0)</f>
        <v>0</v>
      </c>
      <c r="Q70" s="14" t="n">
        <f aca="false">IF($H70=3,1,0)</f>
        <v>0</v>
      </c>
      <c r="R70" s="14" t="str">
        <f aca="false">IF($L70="","",$L70-2018)</f>
        <v/>
      </c>
      <c r="S70" s="14"/>
    </row>
    <row r="71" customFormat="false" ht="15" hidden="false" customHeight="false" outlineLevel="0" collapsed="false">
      <c r="A71" s="14" t="s">
        <v>221</v>
      </c>
      <c r="B71" s="14" t="s">
        <v>222</v>
      </c>
      <c r="C71" s="15" t="n">
        <v>3</v>
      </c>
      <c r="D71" s="14" t="n">
        <v>2023</v>
      </c>
      <c r="E71" s="16" t="n">
        <v>69268.1221404224</v>
      </c>
      <c r="F71" s="14" t="n">
        <v>2023</v>
      </c>
      <c r="G71" s="17" t="n">
        <f aca="false">LN(E71)</f>
        <v>11.1457400813728</v>
      </c>
      <c r="H71" s="14" t="n">
        <v>3</v>
      </c>
      <c r="I71" s="14" t="s">
        <v>102</v>
      </c>
      <c r="J71" s="14" t="n">
        <v>2023</v>
      </c>
      <c r="K71" s="18"/>
      <c r="L71" s="14"/>
      <c r="M71" s="19" t="str">
        <f aca="false">IF(K71="","Missing","Observed")</f>
        <v>Missing</v>
      </c>
      <c r="N71" s="17" t="n">
        <f aca="false">LN(C71)</f>
        <v>1.09861228866811</v>
      </c>
      <c r="O71" s="14" t="n">
        <f aca="false">IF($H71=1,1,0)</f>
        <v>0</v>
      </c>
      <c r="P71" s="14" t="n">
        <f aca="false">IF($H71=2,1,0)</f>
        <v>0</v>
      </c>
      <c r="Q71" s="14" t="n">
        <f aca="false">IF($H71=3,1,0)</f>
        <v>1</v>
      </c>
      <c r="R71" s="14" t="str">
        <f aca="false">IF($L71="","",$L71-2018)</f>
        <v/>
      </c>
      <c r="S71" s="14"/>
    </row>
    <row r="72" customFormat="false" ht="15" hidden="false" customHeight="false" outlineLevel="0" collapsed="false">
      <c r="A72" s="14" t="s">
        <v>223</v>
      </c>
      <c r="B72" s="14" t="s">
        <v>224</v>
      </c>
      <c r="C72" s="15" t="n">
        <v>80</v>
      </c>
      <c r="D72" s="14" t="n">
        <v>2023</v>
      </c>
      <c r="E72" s="16" t="n">
        <v>8870.55027609345</v>
      </c>
      <c r="F72" s="14" t="n">
        <v>2023</v>
      </c>
      <c r="G72" s="17" t="n">
        <f aca="false">LN(E72)</f>
        <v>9.09049211127039</v>
      </c>
      <c r="H72" s="14" t="n">
        <v>1</v>
      </c>
      <c r="I72" s="14" t="s">
        <v>93</v>
      </c>
      <c r="J72" s="14" t="n">
        <v>2023</v>
      </c>
      <c r="K72" s="18" t="n">
        <v>66.7</v>
      </c>
      <c r="L72" s="14" t="n">
        <v>2021</v>
      </c>
      <c r="M72" s="19" t="str">
        <f aca="false">IF(K72="","Missing","Observed")</f>
        <v>Observed</v>
      </c>
      <c r="N72" s="17" t="n">
        <f aca="false">LN(C72)</f>
        <v>4.38202663467388</v>
      </c>
      <c r="O72" s="14" t="n">
        <f aca="false">IF($H72=1,1,0)</f>
        <v>1</v>
      </c>
      <c r="P72" s="14" t="n">
        <f aca="false">IF($H72=2,1,0)</f>
        <v>0</v>
      </c>
      <c r="Q72" s="14" t="n">
        <f aca="false">IF($H72=3,1,0)</f>
        <v>0</v>
      </c>
      <c r="R72" s="14" t="n">
        <f aca="false">IF($L72="","",$L72-2018)</f>
        <v>3</v>
      </c>
      <c r="S72" s="14"/>
    </row>
    <row r="73" customFormat="false" ht="15" hidden="false" customHeight="false" outlineLevel="0" collapsed="false">
      <c r="A73" s="14" t="s">
        <v>225</v>
      </c>
      <c r="B73" s="14" t="s">
        <v>226</v>
      </c>
      <c r="C73" s="15" t="n">
        <v>140</v>
      </c>
      <c r="D73" s="14" t="n">
        <v>2023</v>
      </c>
      <c r="E73" s="16" t="n">
        <v>13889.9495012858</v>
      </c>
      <c r="F73" s="14" t="n">
        <v>2023</v>
      </c>
      <c r="G73" s="17" t="n">
        <f aca="false">LN(E73)</f>
        <v>9.53892080012521</v>
      </c>
      <c r="H73" s="14" t="n">
        <v>2</v>
      </c>
      <c r="I73" s="14" t="s">
        <v>90</v>
      </c>
      <c r="J73" s="14" t="n">
        <v>2023</v>
      </c>
      <c r="K73" s="18" t="n">
        <v>52.6</v>
      </c>
      <c r="L73" s="14" t="n">
        <v>2023</v>
      </c>
      <c r="M73" s="19" t="str">
        <f aca="false">IF(K73="","Missing","Observed")</f>
        <v>Observed</v>
      </c>
      <c r="N73" s="17" t="n">
        <f aca="false">LN(C73)</f>
        <v>4.9416424226093</v>
      </c>
      <c r="O73" s="14" t="n">
        <f aca="false">IF($H73=1,1,0)</f>
        <v>0</v>
      </c>
      <c r="P73" s="14" t="n">
        <f aca="false">IF($H73=2,1,0)</f>
        <v>1</v>
      </c>
      <c r="Q73" s="14" t="n">
        <f aca="false">IF($H73=3,1,0)</f>
        <v>0</v>
      </c>
      <c r="R73" s="14" t="n">
        <f aca="false">IF($L73="","",$L73-2018)</f>
        <v>5</v>
      </c>
      <c r="S73" s="14"/>
    </row>
    <row r="74" customFormat="false" ht="15" hidden="false" customHeight="false" outlineLevel="0" collapsed="false">
      <c r="A74" s="14" t="s">
        <v>227</v>
      </c>
      <c r="B74" s="14" t="s">
        <v>228</v>
      </c>
      <c r="C74" s="15" t="n">
        <v>16</v>
      </c>
      <c r="D74" s="14" t="n">
        <v>2023</v>
      </c>
      <c r="E74" s="16" t="n">
        <v>17044.8173442641</v>
      </c>
      <c r="F74" s="14" t="n">
        <v>2023</v>
      </c>
      <c r="G74" s="17" t="n">
        <f aca="false">LN(E74)</f>
        <v>9.74360146842565</v>
      </c>
      <c r="H74" s="14" t="n">
        <v>0</v>
      </c>
      <c r="I74" s="14" t="s">
        <v>87</v>
      </c>
      <c r="J74" s="14" t="n">
        <v>2023</v>
      </c>
      <c r="K74" s="18" t="n">
        <v>77.4</v>
      </c>
      <c r="L74" s="14" t="n">
        <v>2010</v>
      </c>
      <c r="M74" s="19" t="str">
        <f aca="false">IF(K74="","Missing","Observed")</f>
        <v>Observed</v>
      </c>
      <c r="N74" s="17" t="n">
        <f aca="false">LN(C74)</f>
        <v>2.77258872223978</v>
      </c>
      <c r="O74" s="14" t="n">
        <f aca="false">IF($H74=1,1,0)</f>
        <v>0</v>
      </c>
      <c r="P74" s="14" t="n">
        <f aca="false">IF($H74=2,1,0)</f>
        <v>0</v>
      </c>
      <c r="Q74" s="14" t="n">
        <f aca="false">IF($H74=3,1,0)</f>
        <v>0</v>
      </c>
      <c r="R74" s="14" t="n">
        <f aca="false">IF($L74="","",$L74-2018)</f>
        <v>-8</v>
      </c>
      <c r="S74" s="14"/>
    </row>
    <row r="75" customFormat="false" ht="15" hidden="false" customHeight="false" outlineLevel="0" collapsed="false">
      <c r="A75" s="14" t="s">
        <v>229</v>
      </c>
      <c r="B75" s="14" t="s">
        <v>230</v>
      </c>
      <c r="C75" s="15" t="n">
        <v>66</v>
      </c>
      <c r="D75" s="14" t="n">
        <v>2023</v>
      </c>
      <c r="E75" s="16" t="n">
        <v>13202.3228073856</v>
      </c>
      <c r="F75" s="14" t="n">
        <v>2023</v>
      </c>
      <c r="G75" s="17" t="n">
        <f aca="false">LN(E75)</f>
        <v>9.48814806335</v>
      </c>
      <c r="H75" s="14" t="n">
        <v>1</v>
      </c>
      <c r="I75" s="14" t="s">
        <v>93</v>
      </c>
      <c r="J75" s="14" t="n">
        <v>2023</v>
      </c>
      <c r="K75" s="18" t="n">
        <v>52.78881501</v>
      </c>
      <c r="L75" s="14" t="n">
        <v>2018</v>
      </c>
      <c r="M75" s="19" t="str">
        <f aca="false">IF(K75="","Missing","Observed")</f>
        <v>Observed</v>
      </c>
      <c r="N75" s="17" t="n">
        <f aca="false">LN(C75)</f>
        <v>4.18965474202643</v>
      </c>
      <c r="O75" s="14" t="n">
        <f aca="false">IF($H75=1,1,0)</f>
        <v>1</v>
      </c>
      <c r="P75" s="14" t="n">
        <f aca="false">IF($H75=2,1,0)</f>
        <v>0</v>
      </c>
      <c r="Q75" s="14" t="n">
        <f aca="false">IF($H75=3,1,0)</f>
        <v>0</v>
      </c>
      <c r="R75" s="14" t="n">
        <f aca="false">IF($L75="","",$L75-2018)</f>
        <v>0</v>
      </c>
      <c r="S75" s="14"/>
    </row>
    <row r="76" customFormat="false" ht="15" hidden="false" customHeight="false" outlineLevel="0" collapsed="false">
      <c r="A76" s="14" t="s">
        <v>231</v>
      </c>
      <c r="B76" s="14" t="s">
        <v>232</v>
      </c>
      <c r="C76" s="15" t="n">
        <v>4</v>
      </c>
      <c r="D76" s="14" t="n">
        <v>2023</v>
      </c>
      <c r="E76" s="16" t="n">
        <v>117659.728593716</v>
      </c>
      <c r="F76" s="14" t="n">
        <v>2023</v>
      </c>
      <c r="G76" s="17" t="n">
        <f aca="false">LN(E76)</f>
        <v>11.6755520817161</v>
      </c>
      <c r="H76" s="14" t="n">
        <v>3</v>
      </c>
      <c r="I76" s="14" t="s">
        <v>102</v>
      </c>
      <c r="J76" s="14" t="n">
        <v>2023</v>
      </c>
      <c r="K76" s="18" t="n">
        <v>73.2626619552415</v>
      </c>
      <c r="L76" s="14" t="n">
        <v>2010</v>
      </c>
      <c r="M76" s="19" t="str">
        <f aca="false">IF(K76="","Missing","Observed")</f>
        <v>Observed</v>
      </c>
      <c r="N76" s="17" t="n">
        <f aca="false">LN(C76)</f>
        <v>1.38629436111989</v>
      </c>
      <c r="O76" s="14" t="n">
        <f aca="false">IF($H76=1,1,0)</f>
        <v>0</v>
      </c>
      <c r="P76" s="14" t="n">
        <f aca="false">IF($H76=2,1,0)</f>
        <v>0</v>
      </c>
      <c r="Q76" s="14" t="n">
        <f aca="false">IF($H76=3,1,0)</f>
        <v>1</v>
      </c>
      <c r="R76" s="14" t="n">
        <f aca="false">IF($L76="","",$L76-2018)</f>
        <v>-8</v>
      </c>
      <c r="S76" s="14"/>
    </row>
    <row r="77" customFormat="false" ht="15" hidden="false" customHeight="false" outlineLevel="0" collapsed="false">
      <c r="A77" s="14" t="s">
        <v>233</v>
      </c>
      <c r="B77" s="14" t="s">
        <v>234</v>
      </c>
      <c r="C77" s="15" t="n">
        <v>2</v>
      </c>
      <c r="D77" s="14" t="n">
        <v>2023</v>
      </c>
      <c r="E77" s="16" t="n">
        <v>47671.2476926086</v>
      </c>
      <c r="F77" s="14" t="n">
        <v>2023</v>
      </c>
      <c r="G77" s="17" t="n">
        <f aca="false">LN(E77)</f>
        <v>10.7720837213954</v>
      </c>
      <c r="H77" s="14" t="n">
        <v>2</v>
      </c>
      <c r="I77" s="14" t="s">
        <v>90</v>
      </c>
      <c r="J77" s="14" t="n">
        <v>2023</v>
      </c>
      <c r="K77" s="18"/>
      <c r="L77" s="14"/>
      <c r="M77" s="19" t="str">
        <f aca="false">IF(K77="","Missing","Observed")</f>
        <v>Missing</v>
      </c>
      <c r="N77" s="17" t="n">
        <f aca="false">LN(C77)</f>
        <v>0.693147180559945</v>
      </c>
      <c r="O77" s="14" t="n">
        <f aca="false">IF($H77=1,1,0)</f>
        <v>0</v>
      </c>
      <c r="P77" s="14" t="n">
        <f aca="false">IF($H77=2,1,0)</f>
        <v>1</v>
      </c>
      <c r="Q77" s="14" t="n">
        <f aca="false">IF($H77=3,1,0)</f>
        <v>0</v>
      </c>
      <c r="R77" s="14" t="str">
        <f aca="false">IF($L77="","",$L77-2018)</f>
        <v/>
      </c>
      <c r="S77" s="14"/>
    </row>
    <row r="78" customFormat="false" ht="15" hidden="false" customHeight="false" outlineLevel="0" collapsed="false">
      <c r="A78" s="14" t="s">
        <v>235</v>
      </c>
      <c r="B78" s="14" t="s">
        <v>236</v>
      </c>
      <c r="C78" s="15" t="n">
        <v>6</v>
      </c>
      <c r="D78" s="14" t="n">
        <v>2023</v>
      </c>
      <c r="E78" s="16" t="n">
        <v>52842.6288831758</v>
      </c>
      <c r="F78" s="14" t="n">
        <v>2023</v>
      </c>
      <c r="G78" s="17" t="n">
        <f aca="false">LN(E78)</f>
        <v>10.875073509162</v>
      </c>
      <c r="H78" s="14" t="n">
        <v>3</v>
      </c>
      <c r="I78" s="14" t="s">
        <v>102</v>
      </c>
      <c r="J78" s="14" t="n">
        <v>2023</v>
      </c>
      <c r="K78" s="18" t="n">
        <v>65.1</v>
      </c>
      <c r="L78" s="14" t="n">
        <v>2013</v>
      </c>
      <c r="M78" s="19" t="str">
        <f aca="false">IF(K78="","Missing","Observed")</f>
        <v>Observed</v>
      </c>
      <c r="N78" s="17" t="n">
        <f aca="false">LN(C78)</f>
        <v>1.79175946922806</v>
      </c>
      <c r="O78" s="14" t="n">
        <f aca="false">IF($H78=1,1,0)</f>
        <v>0</v>
      </c>
      <c r="P78" s="14" t="n">
        <f aca="false">IF($H78=2,1,0)</f>
        <v>0</v>
      </c>
      <c r="Q78" s="14" t="n">
        <f aca="false">IF($H78=3,1,0)</f>
        <v>1</v>
      </c>
      <c r="R78" s="14" t="n">
        <f aca="false">IF($L78="","",$L78-2018)</f>
        <v>-5</v>
      </c>
      <c r="S78" s="14"/>
    </row>
    <row r="79" customFormat="false" ht="15" hidden="false" customHeight="false" outlineLevel="0" collapsed="false">
      <c r="A79" s="14" t="s">
        <v>237</v>
      </c>
      <c r="B79" s="14" t="s">
        <v>238</v>
      </c>
      <c r="C79" s="15" t="n">
        <v>130</v>
      </c>
      <c r="D79" s="14" t="n">
        <v>2023</v>
      </c>
      <c r="E79" s="16" t="n">
        <v>11398.8120394641</v>
      </c>
      <c r="F79" s="14" t="n">
        <v>2023</v>
      </c>
      <c r="G79" s="17" t="n">
        <f aca="false">LN(E79)</f>
        <v>9.3412644218881</v>
      </c>
      <c r="H79" s="14" t="n">
        <v>2</v>
      </c>
      <c r="I79" s="14" t="s">
        <v>90</v>
      </c>
      <c r="J79" s="14" t="n">
        <v>2023</v>
      </c>
      <c r="K79" s="18" t="n">
        <v>60.6</v>
      </c>
      <c r="L79" s="14" t="n">
        <v>2022</v>
      </c>
      <c r="M79" s="19" t="str">
        <f aca="false">IF(K79="","Missing","Observed")</f>
        <v>Observed</v>
      </c>
      <c r="N79" s="17" t="n">
        <f aca="false">LN(C79)</f>
        <v>4.86753445045558</v>
      </c>
      <c r="O79" s="14" t="n">
        <f aca="false">IF($H79=1,1,0)</f>
        <v>0</v>
      </c>
      <c r="P79" s="14" t="n">
        <f aca="false">IF($H79=2,1,0)</f>
        <v>1</v>
      </c>
      <c r="Q79" s="14" t="n">
        <f aca="false">IF($H79=3,1,0)</f>
        <v>0</v>
      </c>
      <c r="R79" s="14" t="n">
        <f aca="false">IF($L79="","",$L79-2018)</f>
        <v>4</v>
      </c>
      <c r="S79" s="14"/>
    </row>
    <row r="80" customFormat="false" ht="15" hidden="false" customHeight="false" outlineLevel="0" collapsed="false">
      <c r="A80" s="14" t="s">
        <v>239</v>
      </c>
      <c r="B80" s="14" t="s">
        <v>240</v>
      </c>
      <c r="C80" s="15" t="n">
        <v>3</v>
      </c>
      <c r="D80" s="14" t="n">
        <v>2023</v>
      </c>
      <c r="E80" s="16" t="n">
        <v>47387.2172542523</v>
      </c>
      <c r="F80" s="14" t="n">
        <v>2023</v>
      </c>
      <c r="G80" s="17" t="n">
        <f aca="false">LN(E80)</f>
        <v>10.7661077931331</v>
      </c>
      <c r="H80" s="14" t="n">
        <v>3</v>
      </c>
      <c r="I80" s="14" t="s">
        <v>102</v>
      </c>
      <c r="J80" s="14" t="n">
        <v>2023</v>
      </c>
      <c r="K80" s="18" t="n">
        <v>58.3383869011522</v>
      </c>
      <c r="L80" s="14" t="n">
        <v>2021</v>
      </c>
      <c r="M80" s="19" t="str">
        <f aca="false">IF(K80="","Missing","Observed")</f>
        <v>Observed</v>
      </c>
      <c r="N80" s="17" t="n">
        <f aca="false">LN(C80)</f>
        <v>1.09861228866811</v>
      </c>
      <c r="O80" s="14" t="n">
        <f aca="false">IF($H80=1,1,0)</f>
        <v>0</v>
      </c>
      <c r="P80" s="14" t="n">
        <f aca="false">IF($H80=2,1,0)</f>
        <v>0</v>
      </c>
      <c r="Q80" s="14" t="n">
        <f aca="false">IF($H80=3,1,0)</f>
        <v>1</v>
      </c>
      <c r="R80" s="14" t="n">
        <f aca="false">IF($L80="","",$L80-2018)</f>
        <v>3</v>
      </c>
      <c r="S80" s="14"/>
    </row>
    <row r="81" customFormat="false" ht="15" hidden="false" customHeight="false" outlineLevel="0" collapsed="false">
      <c r="A81" s="14" t="s">
        <v>241</v>
      </c>
      <c r="B81" s="14" t="s">
        <v>242</v>
      </c>
      <c r="C81" s="15" t="n">
        <v>31</v>
      </c>
      <c r="D81" s="14" t="n">
        <v>2023</v>
      </c>
      <c r="E81" s="16" t="n">
        <v>10308.7821986337</v>
      </c>
      <c r="F81" s="14" t="n">
        <v>2023</v>
      </c>
      <c r="G81" s="17" t="n">
        <f aca="false">LN(E81)</f>
        <v>9.24075145157023</v>
      </c>
      <c r="H81" s="14" t="n">
        <v>0</v>
      </c>
      <c r="I81" s="14" t="s">
        <v>87</v>
      </c>
      <c r="J81" s="14" t="n">
        <v>2023</v>
      </c>
      <c r="K81" s="18" t="n">
        <v>60.1</v>
      </c>
      <c r="L81" s="14" t="n">
        <v>2023</v>
      </c>
      <c r="M81" s="19" t="str">
        <f aca="false">IF(K81="","Missing","Observed")</f>
        <v>Observed</v>
      </c>
      <c r="N81" s="17" t="n">
        <f aca="false">LN(C81)</f>
        <v>3.43398720448515</v>
      </c>
      <c r="O81" s="14" t="n">
        <f aca="false">IF($H81=1,1,0)</f>
        <v>0</v>
      </c>
      <c r="P81" s="14" t="n">
        <f aca="false">IF($H81=2,1,0)</f>
        <v>0</v>
      </c>
      <c r="Q81" s="14" t="n">
        <f aca="false">IF($H81=3,1,0)</f>
        <v>0</v>
      </c>
      <c r="R81" s="14" t="n">
        <f aca="false">IF($L81="","",$L81-2018)</f>
        <v>5</v>
      </c>
      <c r="S81" s="14"/>
    </row>
    <row r="82" customFormat="false" ht="15" hidden="false" customHeight="false" outlineLevel="0" collapsed="false">
      <c r="A82" s="14" t="s">
        <v>243</v>
      </c>
      <c r="B82" s="14" t="s">
        <v>244</v>
      </c>
      <c r="C82" s="15" t="n">
        <v>10</v>
      </c>
      <c r="D82" s="14" t="n">
        <v>2023</v>
      </c>
      <c r="E82" s="16" t="n">
        <v>34703.2349286604</v>
      </c>
      <c r="F82" s="14" t="n">
        <v>2023</v>
      </c>
      <c r="G82" s="17" t="n">
        <f aca="false">LN(E82)</f>
        <v>10.4545881871995</v>
      </c>
      <c r="H82" s="14" t="n">
        <v>1</v>
      </c>
      <c r="I82" s="14" t="s">
        <v>93</v>
      </c>
      <c r="J82" s="14" t="n">
        <v>2023</v>
      </c>
      <c r="K82" s="18" t="n">
        <v>52.98</v>
      </c>
      <c r="L82" s="14" t="n">
        <v>2018</v>
      </c>
      <c r="M82" s="19" t="str">
        <f aca="false">IF(K82="","Missing","Observed")</f>
        <v>Observed</v>
      </c>
      <c r="N82" s="17" t="n">
        <f aca="false">LN(C82)</f>
        <v>2.30258509299405</v>
      </c>
      <c r="O82" s="14" t="n">
        <f aca="false">IF($H82=1,1,0)</f>
        <v>1</v>
      </c>
      <c r="P82" s="14" t="n">
        <f aca="false">IF($H82=2,1,0)</f>
        <v>0</v>
      </c>
      <c r="Q82" s="14" t="n">
        <f aca="false">IF($H82=3,1,0)</f>
        <v>0</v>
      </c>
      <c r="R82" s="14" t="n">
        <f aca="false">IF($L82="","",$L82-2018)</f>
        <v>0</v>
      </c>
      <c r="S82" s="14"/>
    </row>
    <row r="83" customFormat="false" ht="15" hidden="false" customHeight="false" outlineLevel="0" collapsed="false">
      <c r="A83" s="14" t="s">
        <v>245</v>
      </c>
      <c r="B83" s="14" t="s">
        <v>246</v>
      </c>
      <c r="C83" s="15" t="n">
        <v>149</v>
      </c>
      <c r="D83" s="14" t="n">
        <v>2023</v>
      </c>
      <c r="E83" s="16" t="n">
        <v>5691.82513474417</v>
      </c>
      <c r="F83" s="14" t="n">
        <v>2023</v>
      </c>
      <c r="G83" s="17" t="n">
        <f aca="false">LN(E83)</f>
        <v>8.64678623750526</v>
      </c>
      <c r="H83" s="14" t="n">
        <v>2</v>
      </c>
      <c r="I83" s="14" t="s">
        <v>90</v>
      </c>
      <c r="J83" s="14" t="n">
        <v>2023</v>
      </c>
      <c r="K83" s="18" t="n">
        <v>62.5</v>
      </c>
      <c r="L83" s="14" t="n">
        <v>2022</v>
      </c>
      <c r="M83" s="19" t="str">
        <f aca="false">IF(K83="","Missing","Observed")</f>
        <v>Observed</v>
      </c>
      <c r="N83" s="17" t="n">
        <f aca="false">LN(C83)</f>
        <v>5.00394630594546</v>
      </c>
      <c r="O83" s="14" t="n">
        <f aca="false">IF($H83=1,1,0)</f>
        <v>0</v>
      </c>
      <c r="P83" s="14" t="n">
        <f aca="false">IF($H83=2,1,0)</f>
        <v>1</v>
      </c>
      <c r="Q83" s="14" t="n">
        <f aca="false">IF($H83=3,1,0)</f>
        <v>0</v>
      </c>
      <c r="R83" s="14" t="n">
        <f aca="false">IF($L83="","",$L83-2018)</f>
        <v>4</v>
      </c>
      <c r="S83" s="14"/>
    </row>
    <row r="84" customFormat="false" ht="15" hidden="false" customHeight="false" outlineLevel="0" collapsed="false">
      <c r="A84" s="14" t="s">
        <v>247</v>
      </c>
      <c r="B84" s="14" t="s">
        <v>248</v>
      </c>
      <c r="C84" s="15" t="n">
        <v>4</v>
      </c>
      <c r="D84" s="14" t="n">
        <v>2023</v>
      </c>
      <c r="E84" s="16" t="n">
        <v>54029.3434990785</v>
      </c>
      <c r="F84" s="14" t="n">
        <v>2023</v>
      </c>
      <c r="G84" s="17" t="n">
        <f aca="false">LN(E84)</f>
        <v>10.8972825760902</v>
      </c>
      <c r="H84" s="14" t="n">
        <v>3</v>
      </c>
      <c r="I84" s="14" t="s">
        <v>102</v>
      </c>
      <c r="J84" s="14" t="n">
        <v>2023</v>
      </c>
      <c r="K84" s="18" t="n">
        <v>84.22</v>
      </c>
      <c r="L84" s="14" t="n">
        <v>2021</v>
      </c>
      <c r="M84" s="19" t="str">
        <f aca="false">IF(K84="","Missing","Observed")</f>
        <v>Observed</v>
      </c>
      <c r="N84" s="17" t="n">
        <f aca="false">LN(C84)</f>
        <v>1.38629436111989</v>
      </c>
      <c r="O84" s="14" t="n">
        <f aca="false">IF($H84=1,1,0)</f>
        <v>0</v>
      </c>
      <c r="P84" s="14" t="n">
        <f aca="false">IF($H84=2,1,0)</f>
        <v>0</v>
      </c>
      <c r="Q84" s="14" t="n">
        <f aca="false">IF($H84=3,1,0)</f>
        <v>1</v>
      </c>
      <c r="R84" s="14" t="n">
        <f aca="false">IF($L84="","",$L84-2018)</f>
        <v>3</v>
      </c>
      <c r="S84" s="14"/>
    </row>
    <row r="85" customFormat="false" ht="15" hidden="false" customHeight="false" outlineLevel="0" collapsed="false">
      <c r="A85" s="14" t="s">
        <v>249</v>
      </c>
      <c r="B85" s="14" t="s">
        <v>250</v>
      </c>
      <c r="C85" s="15" t="n">
        <v>8</v>
      </c>
      <c r="D85" s="14" t="n">
        <v>2023</v>
      </c>
      <c r="E85" s="16" t="n">
        <v>47790.1933239144</v>
      </c>
      <c r="F85" s="14" t="n">
        <v>2023</v>
      </c>
      <c r="G85" s="17" t="n">
        <f aca="false">LN(E85)</f>
        <v>10.7745757368437</v>
      </c>
      <c r="H85" s="14" t="n">
        <v>1</v>
      </c>
      <c r="I85" s="14" t="s">
        <v>93</v>
      </c>
      <c r="J85" s="14" t="n">
        <v>2023</v>
      </c>
      <c r="K85" s="18"/>
      <c r="L85" s="14"/>
      <c r="M85" s="19" t="str">
        <f aca="false">IF(K85="","Missing","Observed")</f>
        <v>Missing</v>
      </c>
      <c r="N85" s="17" t="n">
        <f aca="false">LN(C85)</f>
        <v>2.07944154167984</v>
      </c>
      <c r="O85" s="14" t="n">
        <f aca="false">IF($H85=1,1,0)</f>
        <v>1</v>
      </c>
      <c r="P85" s="14" t="n">
        <f aca="false">IF($H85=2,1,0)</f>
        <v>0</v>
      </c>
      <c r="Q85" s="14" t="n">
        <f aca="false">IF($H85=3,1,0)</f>
        <v>0</v>
      </c>
      <c r="R85" s="14" t="str">
        <f aca="false">IF($L85="","",$L85-2018)</f>
        <v/>
      </c>
      <c r="S85" s="14"/>
    </row>
    <row r="86" customFormat="false" ht="15" hidden="false" customHeight="false" outlineLevel="0" collapsed="false">
      <c r="A86" s="14" t="s">
        <v>251</v>
      </c>
      <c r="B86" s="14" t="s">
        <v>252</v>
      </c>
      <c r="C86" s="15" t="n">
        <v>42</v>
      </c>
      <c r="D86" s="14" t="n">
        <v>2023</v>
      </c>
      <c r="E86" s="16" t="n">
        <v>6575.77541290499</v>
      </c>
      <c r="F86" s="14" t="n">
        <v>2023</v>
      </c>
      <c r="G86" s="17" t="n">
        <f aca="false">LN(E86)</f>
        <v>8.79114778361403</v>
      </c>
      <c r="H86" s="14" t="n">
        <v>1</v>
      </c>
      <c r="I86" s="14" t="s">
        <v>93</v>
      </c>
      <c r="J86" s="14" t="n">
        <v>2023</v>
      </c>
      <c r="K86" s="18" t="n">
        <v>39.3763412</v>
      </c>
      <c r="L86" s="14" t="n">
        <v>2018</v>
      </c>
      <c r="M86" s="19" t="str">
        <f aca="false">IF(K86="","Missing","Observed")</f>
        <v>Observed</v>
      </c>
      <c r="N86" s="17" t="n">
        <f aca="false">LN(C86)</f>
        <v>3.73766961828337</v>
      </c>
      <c r="O86" s="14" t="n">
        <f aca="false">IF($H86=1,1,0)</f>
        <v>1</v>
      </c>
      <c r="P86" s="14" t="n">
        <f aca="false">IF($H86=2,1,0)</f>
        <v>0</v>
      </c>
      <c r="Q86" s="14" t="n">
        <f aca="false">IF($H86=3,1,0)</f>
        <v>0</v>
      </c>
      <c r="R86" s="14" t="n">
        <f aca="false">IF($L86="","",$L86-2018)</f>
        <v>0</v>
      </c>
      <c r="S86" s="14"/>
    </row>
    <row r="87" customFormat="false" ht="15" hidden="false" customHeight="false" outlineLevel="0" collapsed="false">
      <c r="A87" s="14" t="s">
        <v>253</v>
      </c>
      <c r="B87" s="14" t="s">
        <v>254</v>
      </c>
      <c r="C87" s="15" t="n">
        <v>112</v>
      </c>
      <c r="D87" s="14" t="n">
        <v>2023</v>
      </c>
      <c r="E87" s="16" t="n">
        <v>8372.15591874407</v>
      </c>
      <c r="F87" s="14" t="n">
        <v>2023</v>
      </c>
      <c r="G87" s="17" t="n">
        <f aca="false">LN(E87)</f>
        <v>9.03266670722717</v>
      </c>
      <c r="H87" s="14" t="n">
        <v>0</v>
      </c>
      <c r="I87" s="14" t="s">
        <v>87</v>
      </c>
      <c r="J87" s="14" t="n">
        <v>2023</v>
      </c>
      <c r="K87" s="18" t="n">
        <v>56.2757987</v>
      </c>
      <c r="L87" s="14" t="n">
        <v>2017</v>
      </c>
      <c r="M87" s="19" t="str">
        <f aca="false">IF(K87="","Missing","Observed")</f>
        <v>Observed</v>
      </c>
      <c r="N87" s="17" t="n">
        <f aca="false">LN(C87)</f>
        <v>4.71849887129509</v>
      </c>
      <c r="O87" s="14" t="n">
        <f aca="false">IF($H87=1,1,0)</f>
        <v>0</v>
      </c>
      <c r="P87" s="14" t="n">
        <f aca="false">IF($H87=2,1,0)</f>
        <v>0</v>
      </c>
      <c r="Q87" s="14" t="n">
        <f aca="false">IF($H87=3,1,0)</f>
        <v>0</v>
      </c>
      <c r="R87" s="14" t="n">
        <f aca="false">IF($L87="","",$L87-2018)</f>
        <v>-1</v>
      </c>
      <c r="S87" s="14"/>
    </row>
    <row r="88" customFormat="false" ht="15" hidden="false" customHeight="false" outlineLevel="0" collapsed="false">
      <c r="A88" s="14" t="s">
        <v>255</v>
      </c>
      <c r="B88" s="14" t="s">
        <v>256</v>
      </c>
      <c r="C88" s="15" t="n">
        <v>19</v>
      </c>
      <c r="D88" s="14" t="n">
        <v>2023</v>
      </c>
      <c r="E88" s="16" t="n">
        <v>37277.7217221317</v>
      </c>
      <c r="F88" s="14" t="n">
        <v>2023</v>
      </c>
      <c r="G88" s="17" t="n">
        <f aca="false">LN(E88)</f>
        <v>10.5261511543283</v>
      </c>
      <c r="H88" s="14" t="n">
        <v>3</v>
      </c>
      <c r="I88" s="14" t="s">
        <v>102</v>
      </c>
      <c r="J88" s="14" t="n">
        <v>2023</v>
      </c>
      <c r="K88" s="18"/>
      <c r="L88" s="14"/>
      <c r="M88" s="19" t="str">
        <f aca="false">IF(K88="","Missing","Observed")</f>
        <v>Missing</v>
      </c>
      <c r="N88" s="17" t="n">
        <f aca="false">LN(C88)</f>
        <v>2.94443897916644</v>
      </c>
      <c r="O88" s="14" t="n">
        <f aca="false">IF($H88=1,1,0)</f>
        <v>0</v>
      </c>
      <c r="P88" s="14" t="n">
        <f aca="false">IF($H88=2,1,0)</f>
        <v>0</v>
      </c>
      <c r="Q88" s="14" t="n">
        <f aca="false">IF($H88=3,1,0)</f>
        <v>1</v>
      </c>
      <c r="R88" s="14" t="str">
        <f aca="false">IF($L88="","",$L88-2018)</f>
        <v/>
      </c>
      <c r="S88" s="14"/>
    </row>
    <row r="89" customFormat="false" ht="15" hidden="false" customHeight="false" outlineLevel="0" collapsed="false">
      <c r="A89" s="14" t="s">
        <v>257</v>
      </c>
      <c r="B89" s="14" t="s">
        <v>258</v>
      </c>
      <c r="C89" s="15" t="n">
        <v>15</v>
      </c>
      <c r="D89" s="14" t="n">
        <v>2023</v>
      </c>
      <c r="E89" s="16" t="n">
        <v>11330.2687387422</v>
      </c>
      <c r="F89" s="14" t="n">
        <v>2023</v>
      </c>
      <c r="G89" s="17" t="n">
        <f aca="false">LN(E89)</f>
        <v>9.33523307295896</v>
      </c>
      <c r="H89" s="14" t="n">
        <v>1</v>
      </c>
      <c r="I89" s="14" t="s">
        <v>93</v>
      </c>
      <c r="J89" s="14" t="n">
        <v>2023</v>
      </c>
      <c r="K89" s="18"/>
      <c r="L89" s="14"/>
      <c r="M89" s="19" t="str">
        <f aca="false">IF(K89="","Missing","Observed")</f>
        <v>Missing</v>
      </c>
      <c r="N89" s="17" t="n">
        <f aca="false">LN(C89)</f>
        <v>2.70805020110221</v>
      </c>
      <c r="O89" s="14" t="n">
        <f aca="false">IF($H89=1,1,0)</f>
        <v>1</v>
      </c>
      <c r="P89" s="14" t="n">
        <f aca="false">IF($H89=2,1,0)</f>
        <v>0</v>
      </c>
      <c r="Q89" s="14" t="n">
        <f aca="false">IF($H89=3,1,0)</f>
        <v>0</v>
      </c>
      <c r="R89" s="14" t="str">
        <f aca="false">IF($L89="","",$L89-2018)</f>
        <v/>
      </c>
      <c r="S89" s="14"/>
    </row>
    <row r="90" customFormat="false" ht="15" hidden="false" customHeight="false" outlineLevel="0" collapsed="false">
      <c r="A90" s="14" t="s">
        <v>259</v>
      </c>
      <c r="B90" s="14" t="s">
        <v>260</v>
      </c>
      <c r="C90" s="15" t="n">
        <v>478</v>
      </c>
      <c r="D90" s="14" t="n">
        <v>2023</v>
      </c>
      <c r="E90" s="16" t="n">
        <v>2592.4570129526</v>
      </c>
      <c r="F90" s="14" t="n">
        <v>2023</v>
      </c>
      <c r="G90" s="17" t="n">
        <f aca="false">LN(E90)</f>
        <v>7.86036135865574</v>
      </c>
      <c r="H90" s="14" t="n">
        <v>2</v>
      </c>
      <c r="I90" s="14" t="s">
        <v>90</v>
      </c>
      <c r="J90" s="14" t="n">
        <v>2023</v>
      </c>
      <c r="K90" s="18" t="n">
        <v>64.9305733</v>
      </c>
      <c r="L90" s="14" t="n">
        <v>2018</v>
      </c>
      <c r="M90" s="19" t="str">
        <f aca="false">IF(K90="","Missing","Observed")</f>
        <v>Observed</v>
      </c>
      <c r="N90" s="17" t="n">
        <f aca="false">LN(C90)</f>
        <v>6.16961073249146</v>
      </c>
      <c r="O90" s="14" t="n">
        <f aca="false">IF($H90=1,1,0)</f>
        <v>0</v>
      </c>
      <c r="P90" s="14" t="n">
        <f aca="false">IF($H90=2,1,0)</f>
        <v>1</v>
      </c>
      <c r="Q90" s="14" t="n">
        <f aca="false">IF($H90=3,1,0)</f>
        <v>0</v>
      </c>
      <c r="R90" s="14" t="n">
        <f aca="false">IF($L90="","",$L90-2018)</f>
        <v>0</v>
      </c>
      <c r="S90" s="14"/>
    </row>
    <row r="91" customFormat="false" ht="15" hidden="false" customHeight="false" outlineLevel="0" collapsed="false">
      <c r="A91" s="14" t="s">
        <v>261</v>
      </c>
      <c r="B91" s="14" t="s">
        <v>262</v>
      </c>
      <c r="C91" s="15" t="n">
        <v>628</v>
      </c>
      <c r="D91" s="14" t="n">
        <v>2023</v>
      </c>
      <c r="E91" s="16" t="n">
        <v>1616.92373356695</v>
      </c>
      <c r="F91" s="14" t="n">
        <v>2023</v>
      </c>
      <c r="G91" s="17" t="n">
        <f aca="false">LN(E91)</f>
        <v>7.38828069307638</v>
      </c>
      <c r="H91" s="14" t="n">
        <v>2</v>
      </c>
      <c r="I91" s="14" t="s">
        <v>90</v>
      </c>
      <c r="J91" s="14" t="n">
        <v>2023</v>
      </c>
      <c r="K91" s="18" t="n">
        <v>24.9</v>
      </c>
      <c r="L91" s="14" t="n">
        <v>2020</v>
      </c>
      <c r="M91" s="19" t="str">
        <f aca="false">IF(K91="","Missing","Observed")</f>
        <v>Observed</v>
      </c>
      <c r="N91" s="17" t="n">
        <f aca="false">LN(C91)</f>
        <v>6.4425401664682</v>
      </c>
      <c r="O91" s="14" t="n">
        <f aca="false">IF($H91=1,1,0)</f>
        <v>0</v>
      </c>
      <c r="P91" s="14" t="n">
        <f aca="false">IF($H91=2,1,0)</f>
        <v>1</v>
      </c>
      <c r="Q91" s="14" t="n">
        <f aca="false">IF($H91=3,1,0)</f>
        <v>0</v>
      </c>
      <c r="R91" s="14" t="n">
        <f aca="false">IF($L91="","",$L91-2018)</f>
        <v>2</v>
      </c>
      <c r="S91" s="14"/>
    </row>
    <row r="92" customFormat="false" ht="15" hidden="false" customHeight="false" outlineLevel="0" collapsed="false">
      <c r="A92" s="14" t="s">
        <v>263</v>
      </c>
      <c r="B92" s="14" t="s">
        <v>264</v>
      </c>
      <c r="C92" s="15" t="n">
        <v>59</v>
      </c>
      <c r="D92" s="14" t="n">
        <v>2023</v>
      </c>
      <c r="E92" s="16" t="n">
        <v>12476.5974944083</v>
      </c>
      <c r="F92" s="14" t="n">
        <v>2023</v>
      </c>
      <c r="G92" s="17" t="n">
        <f aca="false">LN(E92)</f>
        <v>9.43160996808529</v>
      </c>
      <c r="H92" s="14" t="n">
        <v>0</v>
      </c>
      <c r="I92" s="14" t="s">
        <v>87</v>
      </c>
      <c r="J92" s="14" t="n">
        <v>2023</v>
      </c>
      <c r="K92" s="18" t="n">
        <v>27.7</v>
      </c>
      <c r="L92" s="14" t="n">
        <v>2014</v>
      </c>
      <c r="M92" s="19" t="str">
        <f aca="false">IF(K92="","Missing","Observed")</f>
        <v>Observed</v>
      </c>
      <c r="N92" s="17" t="n">
        <f aca="false">LN(C92)</f>
        <v>4.07753744390572</v>
      </c>
      <c r="O92" s="14" t="n">
        <f aca="false">IF($H92=1,1,0)</f>
        <v>0</v>
      </c>
      <c r="P92" s="14" t="n">
        <f aca="false">IF($H92=2,1,0)</f>
        <v>0</v>
      </c>
      <c r="Q92" s="14" t="n">
        <f aca="false">IF($H92=3,1,0)</f>
        <v>0</v>
      </c>
      <c r="R92" s="14" t="n">
        <f aca="false">IF($L92="","",$L92-2018)</f>
        <v>-4</v>
      </c>
      <c r="S92" s="14"/>
    </row>
    <row r="93" customFormat="false" ht="15" hidden="false" customHeight="false" outlineLevel="0" collapsed="false">
      <c r="A93" s="14" t="s">
        <v>265</v>
      </c>
      <c r="B93" s="14" t="s">
        <v>266</v>
      </c>
      <c r="C93" s="15" t="n">
        <v>8</v>
      </c>
      <c r="D93" s="14" t="n">
        <v>2023</v>
      </c>
      <c r="E93" s="16" t="n">
        <v>46333.9006965206</v>
      </c>
      <c r="F93" s="14" t="n">
        <v>2023</v>
      </c>
      <c r="G93" s="17" t="n">
        <f aca="false">LN(E93)</f>
        <v>10.7436291686184</v>
      </c>
      <c r="H93" s="14" t="n">
        <v>2</v>
      </c>
      <c r="I93" s="14" t="s">
        <v>90</v>
      </c>
      <c r="J93" s="14" t="n">
        <v>2023</v>
      </c>
      <c r="K93" s="18"/>
      <c r="L93" s="14"/>
      <c r="M93" s="19" t="str">
        <f aca="false">IF(K93="","Missing","Observed")</f>
        <v>Missing</v>
      </c>
      <c r="N93" s="17" t="n">
        <f aca="false">LN(C93)</f>
        <v>2.07944154167984</v>
      </c>
      <c r="O93" s="14" t="n">
        <f aca="false">IF($H93=1,1,0)</f>
        <v>0</v>
      </c>
      <c r="P93" s="14" t="n">
        <f aca="false">IF($H93=2,1,0)</f>
        <v>1</v>
      </c>
      <c r="Q93" s="14" t="n">
        <f aca="false">IF($H93=3,1,0)</f>
        <v>0</v>
      </c>
      <c r="R93" s="14" t="str">
        <f aca="false">IF($L93="","",$L93-2018)</f>
        <v/>
      </c>
      <c r="S93" s="14"/>
    </row>
    <row r="94" customFormat="false" ht="15" hidden="false" customHeight="false" outlineLevel="0" collapsed="false">
      <c r="A94" s="14" t="s">
        <v>267</v>
      </c>
      <c r="B94" s="14" t="s">
        <v>268</v>
      </c>
      <c r="C94" s="15" t="n">
        <v>11</v>
      </c>
      <c r="D94" s="14" t="n">
        <v>2023</v>
      </c>
      <c r="E94" s="16" t="n">
        <v>130048.922273147</v>
      </c>
      <c r="F94" s="14" t="n">
        <v>2023</v>
      </c>
      <c r="G94" s="17" t="n">
        <f aca="false">LN(E94)</f>
        <v>11.7756659838232</v>
      </c>
      <c r="H94" s="14" t="n">
        <v>3</v>
      </c>
      <c r="I94" s="14" t="s">
        <v>102</v>
      </c>
      <c r="J94" s="14" t="n">
        <v>2023</v>
      </c>
      <c r="K94" s="18"/>
      <c r="L94" s="14"/>
      <c r="M94" s="19" t="str">
        <f aca="false">IF(K94="","Missing","Observed")</f>
        <v>Missing</v>
      </c>
      <c r="N94" s="17" t="n">
        <f aca="false">LN(C94)</f>
        <v>2.39789527279837</v>
      </c>
      <c r="O94" s="14" t="n">
        <f aca="false">IF($H94=1,1,0)</f>
        <v>0</v>
      </c>
      <c r="P94" s="14" t="n">
        <f aca="false">IF($H94=2,1,0)</f>
        <v>0</v>
      </c>
      <c r="Q94" s="14" t="n">
        <f aca="false">IF($H94=3,1,0)</f>
        <v>1</v>
      </c>
      <c r="R94" s="14" t="str">
        <f aca="false">IF($L94="","",$L94-2018)</f>
        <v/>
      </c>
      <c r="S94" s="14"/>
    </row>
    <row r="95" customFormat="false" ht="15" hidden="false" customHeight="false" outlineLevel="0" collapsed="false">
      <c r="A95" s="14" t="s">
        <v>269</v>
      </c>
      <c r="B95" s="14" t="s">
        <v>270</v>
      </c>
      <c r="C95" s="15" t="n">
        <v>445</v>
      </c>
      <c r="D95" s="14" t="n">
        <v>2023</v>
      </c>
      <c r="E95" s="16" t="n">
        <v>1629.6055225489</v>
      </c>
      <c r="F95" s="14" t="n">
        <v>2023</v>
      </c>
      <c r="G95" s="17" t="n">
        <f aca="false">LN(E95)</f>
        <v>7.3960932538053</v>
      </c>
      <c r="H95" s="14" t="n">
        <v>1</v>
      </c>
      <c r="I95" s="14" t="s">
        <v>93</v>
      </c>
      <c r="J95" s="14" t="n">
        <v>2023</v>
      </c>
      <c r="K95" s="18" t="n">
        <v>49.7</v>
      </c>
      <c r="L95" s="14" t="n">
        <v>2021</v>
      </c>
      <c r="M95" s="19" t="str">
        <f aca="false">IF(K95="","Missing","Observed")</f>
        <v>Observed</v>
      </c>
      <c r="N95" s="17" t="n">
        <f aca="false">LN(C95)</f>
        <v>6.09807428216624</v>
      </c>
      <c r="O95" s="14" t="n">
        <f aca="false">IF($H95=1,1,0)</f>
        <v>1</v>
      </c>
      <c r="P95" s="14" t="n">
        <f aca="false">IF($H95=2,1,0)</f>
        <v>0</v>
      </c>
      <c r="Q95" s="14" t="n">
        <f aca="false">IF($H95=3,1,0)</f>
        <v>0</v>
      </c>
      <c r="R95" s="14" t="n">
        <f aca="false">IF($L95="","",$L95-2018)</f>
        <v>3</v>
      </c>
      <c r="S95" s="14"/>
    </row>
    <row r="96" customFormat="false" ht="15" hidden="false" customHeight="false" outlineLevel="0" collapsed="false">
      <c r="A96" s="14" t="s">
        <v>271</v>
      </c>
      <c r="B96" s="14" t="s">
        <v>272</v>
      </c>
      <c r="C96" s="15" t="n">
        <v>225</v>
      </c>
      <c r="D96" s="14" t="n">
        <v>2023</v>
      </c>
      <c r="E96" s="16" t="n">
        <v>1649.29873234551</v>
      </c>
      <c r="F96" s="14" t="n">
        <v>2023</v>
      </c>
      <c r="G96" s="17" t="n">
        <f aca="false">LN(E96)</f>
        <v>7.40810546585229</v>
      </c>
      <c r="H96" s="14" t="n">
        <v>2</v>
      </c>
      <c r="I96" s="14" t="s">
        <v>90</v>
      </c>
      <c r="J96" s="14" t="n">
        <v>2023</v>
      </c>
      <c r="K96" s="18" t="n">
        <v>65.6131232873079</v>
      </c>
      <c r="L96" s="14" t="n">
        <v>2020</v>
      </c>
      <c r="M96" s="19" t="str">
        <f aca="false">IF(K96="","Missing","Observed")</f>
        <v>Observed</v>
      </c>
      <c r="N96" s="17" t="n">
        <f aca="false">LN(C96)</f>
        <v>5.41610040220442</v>
      </c>
      <c r="O96" s="14" t="n">
        <f aca="false">IF($H96=1,1,0)</f>
        <v>0</v>
      </c>
      <c r="P96" s="14" t="n">
        <f aca="false">IF($H96=2,1,0)</f>
        <v>1</v>
      </c>
      <c r="Q96" s="14" t="n">
        <f aca="false">IF($H96=3,1,0)</f>
        <v>0</v>
      </c>
      <c r="R96" s="14" t="n">
        <f aca="false">IF($L96="","",$L96-2018)</f>
        <v>2</v>
      </c>
      <c r="S96" s="14"/>
    </row>
    <row r="97" customFormat="false" ht="15" hidden="false" customHeight="false" outlineLevel="0" collapsed="false">
      <c r="A97" s="14" t="s">
        <v>273</v>
      </c>
      <c r="B97" s="14" t="s">
        <v>274</v>
      </c>
      <c r="C97" s="15" t="n">
        <v>26</v>
      </c>
      <c r="D97" s="14" t="n">
        <v>2023</v>
      </c>
      <c r="E97" s="16" t="n">
        <v>32857.6676600774</v>
      </c>
      <c r="F97" s="14" t="n">
        <v>2023</v>
      </c>
      <c r="G97" s="17" t="n">
        <f aca="false">LN(E97)</f>
        <v>10.3999404109857</v>
      </c>
      <c r="H97" s="14" t="n">
        <v>2</v>
      </c>
      <c r="I97" s="14" t="s">
        <v>90</v>
      </c>
      <c r="J97" s="14" t="n">
        <v>2023</v>
      </c>
      <c r="K97" s="18" t="n">
        <v>42.8</v>
      </c>
      <c r="L97" s="14" t="n">
        <v>2022</v>
      </c>
      <c r="M97" s="19" t="str">
        <f aca="false">IF(K97="","Missing","Observed")</f>
        <v>Observed</v>
      </c>
      <c r="N97" s="17" t="n">
        <f aca="false">LN(C97)</f>
        <v>3.25809653802148</v>
      </c>
      <c r="O97" s="14" t="n">
        <f aca="false">IF($H97=1,1,0)</f>
        <v>0</v>
      </c>
      <c r="P97" s="14" t="n">
        <f aca="false">IF($H97=2,1,0)</f>
        <v>1</v>
      </c>
      <c r="Q97" s="14" t="n">
        <f aca="false">IF($H97=3,1,0)</f>
        <v>0</v>
      </c>
      <c r="R97" s="14" t="n">
        <f aca="false">IF($L97="","",$L97-2018)</f>
        <v>4</v>
      </c>
      <c r="S97" s="14"/>
    </row>
    <row r="98" customFormat="false" ht="15" hidden="false" customHeight="false" outlineLevel="0" collapsed="false">
      <c r="A98" s="14" t="s">
        <v>275</v>
      </c>
      <c r="B98" s="14" t="s">
        <v>276</v>
      </c>
      <c r="C98" s="15" t="n">
        <v>32</v>
      </c>
      <c r="D98" s="14" t="n">
        <v>2023</v>
      </c>
      <c r="E98" s="16" t="n">
        <v>22333.0477138175</v>
      </c>
      <c r="F98" s="14" t="n">
        <v>2023</v>
      </c>
      <c r="G98" s="17" t="n">
        <f aca="false">LN(E98)</f>
        <v>10.0138228206897</v>
      </c>
      <c r="H98" s="14" t="n">
        <v>2</v>
      </c>
      <c r="I98" s="14" t="s">
        <v>90</v>
      </c>
      <c r="J98" s="14" t="n">
        <v>2023</v>
      </c>
      <c r="K98" s="18" t="n">
        <v>18.8</v>
      </c>
      <c r="L98" s="14" t="n">
        <v>2017</v>
      </c>
      <c r="M98" s="19" t="str">
        <f aca="false">IF(K98="","Missing","Observed")</f>
        <v>Observed</v>
      </c>
      <c r="N98" s="17" t="n">
        <f aca="false">LN(C98)</f>
        <v>3.46573590279973</v>
      </c>
      <c r="O98" s="14" t="n">
        <f aca="false">IF($H98=1,1,0)</f>
        <v>0</v>
      </c>
      <c r="P98" s="14" t="n">
        <f aca="false">IF($H98=2,1,0)</f>
        <v>1</v>
      </c>
      <c r="Q98" s="14" t="n">
        <f aca="false">IF($H98=3,1,0)</f>
        <v>0</v>
      </c>
      <c r="R98" s="14" t="n">
        <f aca="false">IF($L98="","",$L98-2018)</f>
        <v>-1</v>
      </c>
      <c r="S98" s="14"/>
    </row>
    <row r="99" customFormat="false" ht="15" hidden="false" customHeight="false" outlineLevel="0" collapsed="false">
      <c r="A99" s="14" t="s">
        <v>277</v>
      </c>
      <c r="B99" s="14" t="s">
        <v>278</v>
      </c>
      <c r="C99" s="15" t="n">
        <v>367</v>
      </c>
      <c r="D99" s="14" t="n">
        <v>2023</v>
      </c>
      <c r="E99" s="16" t="n">
        <v>2861.48058063314</v>
      </c>
      <c r="F99" s="14" t="n">
        <v>2023</v>
      </c>
      <c r="G99" s="17" t="n">
        <f aca="false">LN(E99)</f>
        <v>7.95909445539703</v>
      </c>
      <c r="H99" s="14" t="n">
        <v>0</v>
      </c>
      <c r="I99" s="14" t="s">
        <v>87</v>
      </c>
      <c r="J99" s="14" t="n">
        <v>2023</v>
      </c>
      <c r="K99" s="18" t="n">
        <v>17.2</v>
      </c>
      <c r="L99" s="14" t="n">
        <v>2018</v>
      </c>
      <c r="M99" s="19" t="str">
        <f aca="false">IF(K99="","Missing","Observed")</f>
        <v>Observed</v>
      </c>
      <c r="N99" s="17" t="n">
        <f aca="false">LN(C99)</f>
        <v>5.90536184805457</v>
      </c>
      <c r="O99" s="14" t="n">
        <f aca="false">IF($H99=1,1,0)</f>
        <v>0</v>
      </c>
      <c r="P99" s="14" t="n">
        <f aca="false">IF($H99=2,1,0)</f>
        <v>0</v>
      </c>
      <c r="Q99" s="14" t="n">
        <f aca="false">IF($H99=3,1,0)</f>
        <v>0</v>
      </c>
      <c r="R99" s="14" t="n">
        <f aca="false">IF($L99="","",$L99-2018)</f>
        <v>0</v>
      </c>
      <c r="S99" s="14"/>
    </row>
    <row r="100" customFormat="false" ht="15" hidden="false" customHeight="false" outlineLevel="0" collapsed="false">
      <c r="A100" s="14" t="s">
        <v>279</v>
      </c>
      <c r="B100" s="14" t="s">
        <v>280</v>
      </c>
      <c r="C100" s="15" t="n">
        <v>8</v>
      </c>
      <c r="D100" s="14" t="n">
        <v>2023</v>
      </c>
      <c r="E100" s="16" t="n">
        <v>60459.7655182644</v>
      </c>
      <c r="F100" s="14" t="n">
        <v>2023</v>
      </c>
      <c r="G100" s="17" t="n">
        <f aca="false">LN(E100)</f>
        <v>11.0097333900306</v>
      </c>
      <c r="H100" s="14" t="n">
        <v>2</v>
      </c>
      <c r="I100" s="14" t="s">
        <v>90</v>
      </c>
      <c r="J100" s="14" t="n">
        <v>2023</v>
      </c>
      <c r="K100" s="18"/>
      <c r="L100" s="14"/>
      <c r="M100" s="19" t="str">
        <f aca="false">IF(K100="","Missing","Observed")</f>
        <v>Missing</v>
      </c>
      <c r="N100" s="17" t="n">
        <f aca="false">LN(C100)</f>
        <v>2.07944154167984</v>
      </c>
      <c r="O100" s="14" t="n">
        <f aca="false">IF($H100=1,1,0)</f>
        <v>0</v>
      </c>
      <c r="P100" s="14" t="n">
        <f aca="false">IF($H100=2,1,0)</f>
        <v>1</v>
      </c>
      <c r="Q100" s="14" t="n">
        <f aca="false">IF($H100=3,1,0)</f>
        <v>0</v>
      </c>
      <c r="R100" s="14" t="str">
        <f aca="false">IF($L100="","",$L100-2018)</f>
        <v/>
      </c>
      <c r="S100" s="14"/>
    </row>
    <row r="101" customFormat="false" ht="15" hidden="false" customHeight="false" outlineLevel="0" collapsed="false">
      <c r="A101" s="14" t="s">
        <v>281</v>
      </c>
      <c r="B101" s="14" t="s">
        <v>282</v>
      </c>
      <c r="C101" s="15" t="n">
        <v>381</v>
      </c>
      <c r="D101" s="14" t="n">
        <v>2023</v>
      </c>
      <c r="E101" s="16" t="n">
        <v>6276.47521075653</v>
      </c>
      <c r="F101" s="14" t="n">
        <v>2023</v>
      </c>
      <c r="G101" s="17" t="n">
        <f aca="false">LN(E101)</f>
        <v>8.74456382971753</v>
      </c>
      <c r="H101" s="14" t="n">
        <v>1</v>
      </c>
      <c r="I101" s="14" t="s">
        <v>93</v>
      </c>
      <c r="J101" s="14" t="n">
        <v>2023</v>
      </c>
      <c r="K101" s="18" t="n">
        <v>14.3</v>
      </c>
      <c r="L101" s="14" t="n">
        <v>2021</v>
      </c>
      <c r="M101" s="19" t="str">
        <f aca="false">IF(K101="","Missing","Observed")</f>
        <v>Observed</v>
      </c>
      <c r="N101" s="17" t="n">
        <f aca="false">LN(C101)</f>
        <v>5.9427993751267</v>
      </c>
      <c r="O101" s="14" t="n">
        <f aca="false">IF($H101=1,1,0)</f>
        <v>1</v>
      </c>
      <c r="P101" s="14" t="n">
        <f aca="false">IF($H101=2,1,0)</f>
        <v>0</v>
      </c>
      <c r="Q101" s="14" t="n">
        <f aca="false">IF($H101=3,1,0)</f>
        <v>0</v>
      </c>
      <c r="R101" s="14" t="n">
        <f aca="false">IF($L101="","",$L101-2018)</f>
        <v>3</v>
      </c>
      <c r="S101" s="14"/>
    </row>
    <row r="102" customFormat="false" ht="15" hidden="false" customHeight="false" outlineLevel="0" collapsed="false">
      <c r="A102" s="14" t="s">
        <v>283</v>
      </c>
      <c r="B102" s="14" t="s">
        <v>284</v>
      </c>
      <c r="C102" s="15" t="n">
        <v>66</v>
      </c>
      <c r="D102" s="14" t="n">
        <v>2023</v>
      </c>
      <c r="E102" s="16" t="n">
        <v>26471.0351422892</v>
      </c>
      <c r="F102" s="14" t="n">
        <v>2023</v>
      </c>
      <c r="G102" s="17" t="n">
        <f aca="false">LN(E102)</f>
        <v>10.1838064007009</v>
      </c>
      <c r="H102" s="14" t="n">
        <v>1</v>
      </c>
      <c r="I102" s="14" t="s">
        <v>93</v>
      </c>
      <c r="J102" s="14" t="n">
        <v>2023</v>
      </c>
      <c r="K102" s="18" t="n">
        <v>63.8</v>
      </c>
      <c r="L102" s="14" t="n">
        <v>2014</v>
      </c>
      <c r="M102" s="19" t="str">
        <f aca="false">IF(K102="","Missing","Observed")</f>
        <v>Observed</v>
      </c>
      <c r="N102" s="17" t="n">
        <f aca="false">LN(C102)</f>
        <v>4.18965474202643</v>
      </c>
      <c r="O102" s="14" t="n">
        <f aca="false">IF($H102=1,1,0)</f>
        <v>1</v>
      </c>
      <c r="P102" s="14" t="n">
        <f aca="false">IF($H102=2,1,0)</f>
        <v>0</v>
      </c>
      <c r="Q102" s="14" t="n">
        <f aca="false">IF($H102=3,1,0)</f>
        <v>0</v>
      </c>
      <c r="R102" s="14" t="n">
        <f aca="false">IF($L102="","",$L102-2018)</f>
        <v>-4</v>
      </c>
      <c r="S102" s="14"/>
    </row>
    <row r="103" customFormat="false" ht="15" hidden="false" customHeight="false" outlineLevel="0" collapsed="false">
      <c r="A103" s="14" t="s">
        <v>285</v>
      </c>
      <c r="B103" s="14" t="s">
        <v>286</v>
      </c>
      <c r="C103" s="15" t="n">
        <v>42</v>
      </c>
      <c r="D103" s="14" t="n">
        <v>2023</v>
      </c>
      <c r="E103" s="16" t="n">
        <v>21864.9236104145</v>
      </c>
      <c r="F103" s="14" t="n">
        <v>2023</v>
      </c>
      <c r="G103" s="17" t="n">
        <f aca="false">LN(E103)</f>
        <v>9.99263897014846</v>
      </c>
      <c r="H103" s="14" t="n">
        <v>2</v>
      </c>
      <c r="I103" s="14" t="s">
        <v>90</v>
      </c>
      <c r="J103" s="14" t="n">
        <v>2023</v>
      </c>
      <c r="K103" s="18" t="n">
        <v>71.8482508570646</v>
      </c>
      <c r="L103" s="14" t="n">
        <v>2023</v>
      </c>
      <c r="M103" s="19" t="str">
        <f aca="false">IF(K103="","Missing","Observed")</f>
        <v>Observed</v>
      </c>
      <c r="N103" s="17" t="n">
        <f aca="false">LN(C103)</f>
        <v>3.73766961828337</v>
      </c>
      <c r="O103" s="14" t="n">
        <f aca="false">IF($H103=1,1,0)</f>
        <v>0</v>
      </c>
      <c r="P103" s="14" t="n">
        <f aca="false">IF($H103=2,1,0)</f>
        <v>1</v>
      </c>
      <c r="Q103" s="14" t="n">
        <f aca="false">IF($H103=3,1,0)</f>
        <v>0</v>
      </c>
      <c r="R103" s="14" t="n">
        <f aca="false">IF($L103="","",$L103-2018)</f>
        <v>5</v>
      </c>
      <c r="S103" s="14"/>
    </row>
    <row r="104" customFormat="false" ht="15" hidden="false" customHeight="false" outlineLevel="0" collapsed="false">
      <c r="A104" s="14" t="s">
        <v>287</v>
      </c>
      <c r="B104" s="14" t="s">
        <v>288</v>
      </c>
      <c r="C104" s="15" t="n">
        <v>19</v>
      </c>
      <c r="D104" s="14" t="n">
        <v>2023</v>
      </c>
      <c r="E104" s="16" t="n">
        <v>15980.5668889856</v>
      </c>
      <c r="F104" s="14" t="n">
        <v>2023</v>
      </c>
      <c r="G104" s="17" t="n">
        <f aca="false">LN(E104)</f>
        <v>9.67912869359628</v>
      </c>
      <c r="H104" s="14" t="n">
        <v>2</v>
      </c>
      <c r="I104" s="14" t="s">
        <v>90</v>
      </c>
      <c r="J104" s="14" t="n">
        <v>2023</v>
      </c>
      <c r="K104" s="18" t="n">
        <v>56</v>
      </c>
      <c r="L104" s="14" t="n">
        <v>2020</v>
      </c>
      <c r="M104" s="19" t="str">
        <f aca="false">IF(K104="","Missing","Observed")</f>
        <v>Observed</v>
      </c>
      <c r="N104" s="17" t="n">
        <f aca="false">LN(C104)</f>
        <v>2.94443897916644</v>
      </c>
      <c r="O104" s="14" t="n">
        <f aca="false">IF($H104=1,1,0)</f>
        <v>0</v>
      </c>
      <c r="P104" s="14" t="n">
        <f aca="false">IF($H104=2,1,0)</f>
        <v>1</v>
      </c>
      <c r="Q104" s="14" t="n">
        <f aca="false">IF($H104=3,1,0)</f>
        <v>0</v>
      </c>
      <c r="R104" s="14" t="n">
        <f aca="false">IF($L104="","",$L104-2018)</f>
        <v>2</v>
      </c>
      <c r="S104" s="14"/>
    </row>
    <row r="105" customFormat="false" ht="15" hidden="false" customHeight="false" outlineLevel="0" collapsed="false">
      <c r="A105" s="14" t="s">
        <v>289</v>
      </c>
      <c r="B105" s="14" t="s">
        <v>290</v>
      </c>
      <c r="C105" s="15" t="n">
        <v>41</v>
      </c>
      <c r="D105" s="14" t="n">
        <v>2023</v>
      </c>
      <c r="E105" s="16" t="n">
        <v>16222.8638898529</v>
      </c>
      <c r="F105" s="14" t="n">
        <v>2023</v>
      </c>
      <c r="G105" s="17" t="n">
        <f aca="false">LN(E105)</f>
        <v>9.69417687742593</v>
      </c>
      <c r="H105" s="14" t="n">
        <v>2</v>
      </c>
      <c r="I105" s="14" t="s">
        <v>90</v>
      </c>
      <c r="J105" s="14" t="n">
        <v>2023</v>
      </c>
      <c r="K105" s="18" t="n">
        <v>48.1348813</v>
      </c>
      <c r="L105" s="14" t="n">
        <v>2018</v>
      </c>
      <c r="M105" s="19" t="str">
        <f aca="false">IF(K105="","Missing","Observed")</f>
        <v>Observed</v>
      </c>
      <c r="N105" s="17" t="n">
        <f aca="false">LN(C105)</f>
        <v>3.71357206670431</v>
      </c>
      <c r="O105" s="14" t="n">
        <f aca="false">IF($H105=1,1,0)</f>
        <v>0</v>
      </c>
      <c r="P105" s="14" t="n">
        <f aca="false">IF($H105=2,1,0)</f>
        <v>1</v>
      </c>
      <c r="Q105" s="14" t="n">
        <f aca="false">IF($H105=3,1,0)</f>
        <v>0</v>
      </c>
      <c r="R105" s="14" t="n">
        <f aca="false">IF($L105="","",$L105-2018)</f>
        <v>0</v>
      </c>
      <c r="S105" s="14"/>
    </row>
    <row r="106" customFormat="false" ht="15" hidden="false" customHeight="false" outlineLevel="0" collapsed="false">
      <c r="A106" s="14" t="s">
        <v>291</v>
      </c>
      <c r="B106" s="14" t="s">
        <v>292</v>
      </c>
      <c r="C106" s="15" t="n">
        <v>6</v>
      </c>
      <c r="D106" s="14" t="n">
        <v>2023</v>
      </c>
      <c r="E106" s="16" t="n">
        <v>27243.404228981</v>
      </c>
      <c r="F106" s="14" t="n">
        <v>2023</v>
      </c>
      <c r="G106" s="17" t="n">
        <f aca="false">LN(E106)</f>
        <v>10.2125667241505</v>
      </c>
      <c r="H106" s="14" t="n">
        <v>2</v>
      </c>
      <c r="I106" s="14" t="s">
        <v>90</v>
      </c>
      <c r="J106" s="14" t="n">
        <v>2023</v>
      </c>
      <c r="K106" s="18" t="n">
        <v>20.7</v>
      </c>
      <c r="L106" s="14" t="n">
        <v>2018</v>
      </c>
      <c r="M106" s="19" t="str">
        <f aca="false">IF(K106="","Missing","Observed")</f>
        <v>Observed</v>
      </c>
      <c r="N106" s="17" t="n">
        <f aca="false">LN(C106)</f>
        <v>1.79175946922806</v>
      </c>
      <c r="O106" s="14" t="n">
        <f aca="false">IF($H106=1,1,0)</f>
        <v>0</v>
      </c>
      <c r="P106" s="14" t="n">
        <f aca="false">IF($H106=2,1,0)</f>
        <v>1</v>
      </c>
      <c r="Q106" s="14" t="n">
        <f aca="false">IF($H106=3,1,0)</f>
        <v>0</v>
      </c>
      <c r="R106" s="14" t="n">
        <f aca="false">IF($L106="","",$L106-2018)</f>
        <v>0</v>
      </c>
      <c r="S106" s="14"/>
    </row>
    <row r="107" customFormat="false" ht="15" hidden="false" customHeight="false" outlineLevel="0" collapsed="false">
      <c r="A107" s="14" t="s">
        <v>293</v>
      </c>
      <c r="B107" s="14" t="s">
        <v>294</v>
      </c>
      <c r="C107" s="15" t="n">
        <v>70</v>
      </c>
      <c r="D107" s="14" t="n">
        <v>2023</v>
      </c>
      <c r="E107" s="16" t="n">
        <v>8915.3515625</v>
      </c>
      <c r="F107" s="14" t="n">
        <v>2023</v>
      </c>
      <c r="G107" s="17" t="n">
        <f aca="false">LN(E107)</f>
        <v>9.09552996446081</v>
      </c>
      <c r="H107" s="14" t="n">
        <v>0</v>
      </c>
      <c r="I107" s="14" t="s">
        <v>87</v>
      </c>
      <c r="J107" s="14" t="n">
        <v>2023</v>
      </c>
      <c r="K107" s="18" t="n">
        <v>70.8</v>
      </c>
      <c r="L107" s="14" t="n">
        <v>2018</v>
      </c>
      <c r="M107" s="19" t="str">
        <f aca="false">IF(K107="","Missing","Observed")</f>
        <v>Observed</v>
      </c>
      <c r="N107" s="17" t="n">
        <f aca="false">LN(C107)</f>
        <v>4.24849524204936</v>
      </c>
      <c r="O107" s="14" t="n">
        <f aca="false">IF($H107=1,1,0)</f>
        <v>0</v>
      </c>
      <c r="P107" s="14" t="n">
        <f aca="false">IF($H107=2,1,0)</f>
        <v>0</v>
      </c>
      <c r="Q107" s="14" t="n">
        <f aca="false">IF($H107=3,1,0)</f>
        <v>0</v>
      </c>
      <c r="R107" s="14" t="n">
        <f aca="false">IF($L107="","",$L107-2018)</f>
        <v>0</v>
      </c>
      <c r="S107" s="14"/>
    </row>
    <row r="108" customFormat="false" ht="15" hidden="false" customHeight="false" outlineLevel="0" collapsed="false">
      <c r="A108" s="14" t="s">
        <v>295</v>
      </c>
      <c r="B108" s="14" t="s">
        <v>296</v>
      </c>
      <c r="C108" s="15" t="n">
        <v>99</v>
      </c>
      <c r="D108" s="14" t="n">
        <v>2023</v>
      </c>
      <c r="E108" s="16" t="n">
        <v>1512.66729609671</v>
      </c>
      <c r="F108" s="14" t="n">
        <v>2023</v>
      </c>
      <c r="G108" s="17" t="n">
        <f aca="false">LN(E108)</f>
        <v>7.32162979277783</v>
      </c>
      <c r="H108" s="14" t="n">
        <v>1</v>
      </c>
      <c r="I108" s="14" t="s">
        <v>93</v>
      </c>
      <c r="J108" s="14" t="n">
        <v>2023</v>
      </c>
      <c r="K108" s="18" t="n">
        <v>26.4</v>
      </c>
      <c r="L108" s="14" t="n">
        <v>2023</v>
      </c>
      <c r="M108" s="19" t="str">
        <f aca="false">IF(K108="","Missing","Observed")</f>
        <v>Observed</v>
      </c>
      <c r="N108" s="17" t="n">
        <f aca="false">LN(C108)</f>
        <v>4.59511985013459</v>
      </c>
      <c r="O108" s="14" t="n">
        <f aca="false">IF($H108=1,1,0)</f>
        <v>1</v>
      </c>
      <c r="P108" s="14" t="n">
        <f aca="false">IF($H108=2,1,0)</f>
        <v>0</v>
      </c>
      <c r="Q108" s="14" t="n">
        <f aca="false">IF($H108=3,1,0)</f>
        <v>0</v>
      </c>
      <c r="R108" s="14" t="n">
        <f aca="false">IF($L108="","",$L108-2018)</f>
        <v>5</v>
      </c>
      <c r="S108" s="14"/>
    </row>
    <row r="109" customFormat="false" ht="15" hidden="false" customHeight="false" outlineLevel="0" collapsed="false">
      <c r="A109" s="14" t="s">
        <v>68</v>
      </c>
      <c r="B109" s="14" t="s">
        <v>297</v>
      </c>
      <c r="C109" s="15" t="n">
        <v>185</v>
      </c>
      <c r="D109" s="14" t="n">
        <v>2023</v>
      </c>
      <c r="E109" s="16" t="n">
        <v>5364.13797034429</v>
      </c>
      <c r="F109" s="14" t="n">
        <v>2023</v>
      </c>
      <c r="G109" s="17" t="n">
        <f aca="false">LN(E109)</f>
        <v>8.58749096561147</v>
      </c>
      <c r="H109" s="14" t="n">
        <v>0</v>
      </c>
      <c r="I109" s="14" t="s">
        <v>87</v>
      </c>
      <c r="J109" s="14" t="n">
        <v>2023</v>
      </c>
      <c r="K109" s="18" t="n">
        <v>52.2</v>
      </c>
      <c r="L109" s="14" t="n">
        <v>2016</v>
      </c>
      <c r="M109" s="19" t="str">
        <f aca="false">IF(K109="","Missing","Observed")</f>
        <v>Observed</v>
      </c>
      <c r="N109" s="17" t="n">
        <f aca="false">LN(C109)</f>
        <v>5.22035582507832</v>
      </c>
      <c r="O109" s="14" t="n">
        <f aca="false">IF($H109=1,1,0)</f>
        <v>0</v>
      </c>
      <c r="P109" s="14" t="n">
        <f aca="false">IF($H109=2,1,0)</f>
        <v>0</v>
      </c>
      <c r="Q109" s="14" t="n">
        <f aca="false">IF($H109=3,1,0)</f>
        <v>0</v>
      </c>
      <c r="R109" s="14" t="n">
        <f aca="false">IF($L109="","",$L109-2018)</f>
        <v>-2</v>
      </c>
      <c r="S109" s="14"/>
    </row>
    <row r="110" customFormat="false" ht="15" hidden="false" customHeight="false" outlineLevel="0" collapsed="false">
      <c r="A110" s="14" t="s">
        <v>298</v>
      </c>
      <c r="B110" s="14" t="s">
        <v>299</v>
      </c>
      <c r="C110" s="15" t="n">
        <v>139</v>
      </c>
      <c r="D110" s="14" t="n">
        <v>2023</v>
      </c>
      <c r="E110" s="16" t="n">
        <v>10126.2359555611</v>
      </c>
      <c r="F110" s="14" t="n">
        <v>2023</v>
      </c>
      <c r="G110" s="17" t="n">
        <f aca="false">LN(E110)</f>
        <v>9.22288495420989</v>
      </c>
      <c r="H110" s="14" t="n">
        <v>2</v>
      </c>
      <c r="I110" s="14" t="s">
        <v>90</v>
      </c>
      <c r="J110" s="14" t="n">
        <v>2023</v>
      </c>
      <c r="K110" s="18" t="n">
        <v>56.1</v>
      </c>
      <c r="L110" s="14" t="n">
        <v>2013</v>
      </c>
      <c r="M110" s="19" t="str">
        <f aca="false">IF(K110="","Missing","Observed")</f>
        <v>Observed</v>
      </c>
      <c r="N110" s="17" t="n">
        <f aca="false">LN(C110)</f>
        <v>4.93447393313069</v>
      </c>
      <c r="O110" s="14" t="n">
        <f aca="false">IF($H110=1,1,0)</f>
        <v>0</v>
      </c>
      <c r="P110" s="14" t="n">
        <f aca="false">IF($H110=2,1,0)</f>
        <v>1</v>
      </c>
      <c r="Q110" s="14" t="n">
        <f aca="false">IF($H110=3,1,0)</f>
        <v>0</v>
      </c>
      <c r="R110" s="14" t="n">
        <f aca="false">IF($L110="","",$L110-2018)</f>
        <v>-5</v>
      </c>
      <c r="S110" s="14"/>
    </row>
    <row r="111" customFormat="false" ht="15" hidden="false" customHeight="false" outlineLevel="0" collapsed="false">
      <c r="A111" s="14" t="s">
        <v>300</v>
      </c>
      <c r="B111" s="14" t="s">
        <v>301</v>
      </c>
      <c r="C111" s="15" t="n">
        <v>142</v>
      </c>
      <c r="D111" s="14" t="n">
        <v>2023</v>
      </c>
      <c r="E111" s="16" t="n">
        <v>4861.230303797</v>
      </c>
      <c r="F111" s="14" t="n">
        <v>2023</v>
      </c>
      <c r="G111" s="17" t="n">
        <f aca="false">LN(E111)</f>
        <v>8.48904683378718</v>
      </c>
      <c r="H111" s="14" t="n">
        <v>2</v>
      </c>
      <c r="I111" s="14" t="s">
        <v>90</v>
      </c>
      <c r="J111" s="14" t="n">
        <v>2023</v>
      </c>
      <c r="K111" s="18" t="n">
        <v>57.2</v>
      </c>
      <c r="L111" s="14" t="n">
        <v>2022</v>
      </c>
      <c r="M111" s="19" t="str">
        <f aca="false">IF(K111="","Missing","Observed")</f>
        <v>Observed</v>
      </c>
      <c r="N111" s="17" t="n">
        <f aca="false">LN(C111)</f>
        <v>4.95582705760126</v>
      </c>
      <c r="O111" s="14" t="n">
        <f aca="false">IF($H111=1,1,0)</f>
        <v>0</v>
      </c>
      <c r="P111" s="14" t="n">
        <f aca="false">IF($H111=2,1,0)</f>
        <v>1</v>
      </c>
      <c r="Q111" s="14" t="n">
        <f aca="false">IF($H111=3,1,0)</f>
        <v>0</v>
      </c>
      <c r="R111" s="14" t="n">
        <f aca="false">IF($L111="","",$L111-2018)</f>
        <v>4</v>
      </c>
      <c r="S111" s="14"/>
    </row>
    <row r="112" customFormat="false" ht="15" hidden="false" customHeight="false" outlineLevel="0" collapsed="false">
      <c r="A112" s="14" t="s">
        <v>302</v>
      </c>
      <c r="B112" s="14" t="s">
        <v>303</v>
      </c>
      <c r="C112" s="15" t="n">
        <v>4</v>
      </c>
      <c r="D112" s="14" t="n">
        <v>2023</v>
      </c>
      <c r="E112" s="16" t="n">
        <v>70198.9546022361</v>
      </c>
      <c r="F112" s="14" t="n">
        <v>2023</v>
      </c>
      <c r="G112" s="17" t="n">
        <f aca="false">LN(E112)</f>
        <v>11.159088698197</v>
      </c>
      <c r="H112" s="14" t="n">
        <v>3</v>
      </c>
      <c r="I112" s="14" t="s">
        <v>102</v>
      </c>
      <c r="J112" s="14" t="n">
        <v>2023</v>
      </c>
      <c r="K112" s="18" t="n">
        <v>73</v>
      </c>
      <c r="L112" s="14" t="n">
        <v>2013</v>
      </c>
      <c r="M112" s="19" t="str">
        <f aca="false">IF(K112="","Missing","Observed")</f>
        <v>Observed</v>
      </c>
      <c r="N112" s="17" t="n">
        <f aca="false">LN(C112)</f>
        <v>1.38629436111989</v>
      </c>
      <c r="O112" s="14" t="n">
        <f aca="false">IF($H112=1,1,0)</f>
        <v>0</v>
      </c>
      <c r="P112" s="14" t="n">
        <f aca="false">IF($H112=2,1,0)</f>
        <v>0</v>
      </c>
      <c r="Q112" s="14" t="n">
        <f aca="false">IF($H112=3,1,0)</f>
        <v>1</v>
      </c>
      <c r="R112" s="14" t="n">
        <f aca="false">IF($L112="","",$L112-2018)</f>
        <v>-5</v>
      </c>
      <c r="S112" s="14"/>
    </row>
    <row r="113" customFormat="false" ht="15" hidden="false" customHeight="false" outlineLevel="0" collapsed="false">
      <c r="A113" s="14" t="s">
        <v>304</v>
      </c>
      <c r="B113" s="14" t="s">
        <v>305</v>
      </c>
      <c r="C113" s="15" t="n">
        <v>7</v>
      </c>
      <c r="D113" s="14" t="n">
        <v>2023</v>
      </c>
      <c r="E113" s="16" t="n">
        <v>49592.5875512098</v>
      </c>
      <c r="F113" s="14" t="n">
        <v>2023</v>
      </c>
      <c r="G113" s="17" t="n">
        <f aca="false">LN(E113)</f>
        <v>10.811596657013</v>
      </c>
      <c r="H113" s="14" t="n">
        <v>3</v>
      </c>
      <c r="I113" s="14" t="s">
        <v>102</v>
      </c>
      <c r="J113" s="14" t="n">
        <v>2023</v>
      </c>
      <c r="K113" s="18"/>
      <c r="L113" s="14"/>
      <c r="M113" s="19" t="str">
        <f aca="false">IF(K113="","Missing","Observed")</f>
        <v>Missing</v>
      </c>
      <c r="N113" s="17" t="n">
        <f aca="false">LN(C113)</f>
        <v>1.94591014905531</v>
      </c>
      <c r="O113" s="14" t="n">
        <f aca="false">IF($H113=1,1,0)</f>
        <v>0</v>
      </c>
      <c r="P113" s="14" t="n">
        <f aca="false">IF($H113=2,1,0)</f>
        <v>0</v>
      </c>
      <c r="Q113" s="14" t="n">
        <f aca="false">IF($H113=3,1,0)</f>
        <v>1</v>
      </c>
      <c r="R113" s="14" t="str">
        <f aca="false">IF($L113="","",$L113-2018)</f>
        <v/>
      </c>
      <c r="S113" s="14"/>
    </row>
    <row r="114" customFormat="false" ht="15" hidden="false" customHeight="false" outlineLevel="0" collapsed="false">
      <c r="A114" s="14" t="s">
        <v>306</v>
      </c>
      <c r="B114" s="14" t="s">
        <v>307</v>
      </c>
      <c r="C114" s="15" t="n">
        <v>60</v>
      </c>
      <c r="D114" s="14" t="n">
        <v>2023</v>
      </c>
      <c r="E114" s="16" t="n">
        <v>7496.53056557505</v>
      </c>
      <c r="F114" s="14" t="n">
        <v>2023</v>
      </c>
      <c r="G114" s="17" t="n">
        <f aca="false">LN(E114)</f>
        <v>8.9221956012394</v>
      </c>
      <c r="H114" s="14" t="n">
        <v>1</v>
      </c>
      <c r="I114" s="14" t="s">
        <v>93</v>
      </c>
      <c r="J114" s="14" t="n">
        <v>2023</v>
      </c>
      <c r="K114" s="18" t="n">
        <v>80.4</v>
      </c>
      <c r="L114" s="14" t="n">
        <v>2012</v>
      </c>
      <c r="M114" s="19" t="str">
        <f aca="false">IF(K114="","Missing","Observed")</f>
        <v>Observed</v>
      </c>
      <c r="N114" s="17" t="n">
        <f aca="false">LN(C114)</f>
        <v>4.0943445622221</v>
      </c>
      <c r="O114" s="14" t="n">
        <f aca="false">IF($H114=1,1,0)</f>
        <v>1</v>
      </c>
      <c r="P114" s="14" t="n">
        <f aca="false">IF($H114=2,1,0)</f>
        <v>0</v>
      </c>
      <c r="Q114" s="14" t="n">
        <f aca="false">IF($H114=3,1,0)</f>
        <v>0</v>
      </c>
      <c r="R114" s="14" t="n">
        <f aca="false">IF($L114="","",$L114-2018)</f>
        <v>-6</v>
      </c>
      <c r="S114" s="14"/>
    </row>
    <row r="115" customFormat="false" ht="15" hidden="false" customHeight="false" outlineLevel="0" collapsed="false">
      <c r="A115" s="14" t="s">
        <v>308</v>
      </c>
      <c r="B115" s="14" t="s">
        <v>309</v>
      </c>
      <c r="C115" s="15" t="n">
        <v>350</v>
      </c>
      <c r="D115" s="14" t="n">
        <v>2023</v>
      </c>
      <c r="E115" s="16" t="n">
        <v>1712.97031726521</v>
      </c>
      <c r="F115" s="14" t="n">
        <v>2023</v>
      </c>
      <c r="G115" s="17" t="n">
        <f aca="false">LN(E115)</f>
        <v>7.44598417024942</v>
      </c>
      <c r="H115" s="14" t="n">
        <v>0</v>
      </c>
      <c r="I115" s="14" t="s">
        <v>87</v>
      </c>
      <c r="J115" s="14" t="n">
        <v>2023</v>
      </c>
      <c r="K115" s="18" t="n">
        <v>15.2564802562511</v>
      </c>
      <c r="L115" s="14" t="n">
        <v>2023</v>
      </c>
      <c r="M115" s="19" t="str">
        <f aca="false">IF(K115="","Missing","Observed")</f>
        <v>Observed</v>
      </c>
      <c r="N115" s="17" t="n">
        <f aca="false">LN(C115)</f>
        <v>5.85793315448346</v>
      </c>
      <c r="O115" s="14" t="n">
        <f aca="false">IF($H115=1,1,0)</f>
        <v>0</v>
      </c>
      <c r="P115" s="14" t="n">
        <f aca="false">IF($H115=2,1,0)</f>
        <v>0</v>
      </c>
      <c r="Q115" s="14" t="n">
        <f aca="false">IF($H115=3,1,0)</f>
        <v>0</v>
      </c>
      <c r="R115" s="14" t="n">
        <f aca="false">IF($L115="","",$L115-2018)</f>
        <v>5</v>
      </c>
      <c r="S115" s="14"/>
    </row>
    <row r="116" customFormat="false" ht="15" hidden="false" customHeight="false" outlineLevel="0" collapsed="false">
      <c r="A116" s="14" t="s">
        <v>310</v>
      </c>
      <c r="B116" s="14" t="s">
        <v>311</v>
      </c>
      <c r="C116" s="15" t="n">
        <v>993</v>
      </c>
      <c r="D116" s="14" t="n">
        <v>2023</v>
      </c>
      <c r="E116" s="16" t="n">
        <v>7843.00399007675</v>
      </c>
      <c r="F116" s="14" t="n">
        <v>2023</v>
      </c>
      <c r="G116" s="17" t="n">
        <f aca="false">LN(E116)</f>
        <v>8.96737720195623</v>
      </c>
      <c r="H116" s="14" t="n">
        <v>1</v>
      </c>
      <c r="I116" s="14" t="s">
        <v>93</v>
      </c>
      <c r="J116" s="14" t="n">
        <v>2023</v>
      </c>
      <c r="K116" s="18" t="n">
        <v>21.6</v>
      </c>
      <c r="L116" s="14" t="n">
        <v>2021</v>
      </c>
      <c r="M116" s="19" t="str">
        <f aca="false">IF(K116="","Missing","Observed")</f>
        <v>Observed</v>
      </c>
      <c r="N116" s="17" t="n">
        <f aca="false">LN(C116)</f>
        <v>6.90073066404517</v>
      </c>
      <c r="O116" s="14" t="n">
        <f aca="false">IF($H116=1,1,0)</f>
        <v>1</v>
      </c>
      <c r="P116" s="14" t="n">
        <f aca="false">IF($H116=2,1,0)</f>
        <v>0</v>
      </c>
      <c r="Q116" s="14" t="n">
        <f aca="false">IF($H116=3,1,0)</f>
        <v>0</v>
      </c>
      <c r="R116" s="14" t="n">
        <f aca="false">IF($L116="","",$L116-2018)</f>
        <v>3</v>
      </c>
      <c r="S116" s="14"/>
    </row>
    <row r="117" customFormat="false" ht="15" hidden="false" customHeight="false" outlineLevel="0" collapsed="false">
      <c r="A117" s="14" t="s">
        <v>312</v>
      </c>
      <c r="B117" s="14" t="s">
        <v>313</v>
      </c>
      <c r="C117" s="15" t="n">
        <v>3</v>
      </c>
      <c r="D117" s="14" t="n">
        <v>2023</v>
      </c>
      <c r="E117" s="16" t="n">
        <v>23455.2221318176</v>
      </c>
      <c r="F117" s="14" t="n">
        <v>2023</v>
      </c>
      <c r="G117" s="17" t="n">
        <f aca="false">LN(E117)</f>
        <v>10.0628484412706</v>
      </c>
      <c r="H117" s="14" t="n">
        <v>2</v>
      </c>
      <c r="I117" s="14" t="s">
        <v>90</v>
      </c>
      <c r="J117" s="14" t="n">
        <v>2023</v>
      </c>
      <c r="K117" s="18" t="n">
        <v>59.8676426711758</v>
      </c>
      <c r="L117" s="14" t="n">
        <v>2019</v>
      </c>
      <c r="M117" s="19" t="str">
        <f aca="false">IF(K117="","Missing","Observed")</f>
        <v>Observed</v>
      </c>
      <c r="N117" s="17" t="n">
        <f aca="false">LN(C117)</f>
        <v>1.09861228866811</v>
      </c>
      <c r="O117" s="14" t="n">
        <f aca="false">IF($H117=1,1,0)</f>
        <v>0</v>
      </c>
      <c r="P117" s="14" t="n">
        <f aca="false">IF($H117=2,1,0)</f>
        <v>1</v>
      </c>
      <c r="Q117" s="14" t="n">
        <f aca="false">IF($H117=3,1,0)</f>
        <v>0</v>
      </c>
      <c r="R117" s="14" t="n">
        <f aca="false">IF($L117="","",$L117-2018)</f>
        <v>1</v>
      </c>
      <c r="S117" s="14"/>
    </row>
    <row r="118" customFormat="false" ht="15" hidden="false" customHeight="false" outlineLevel="0" collapsed="false">
      <c r="A118" s="14" t="s">
        <v>314</v>
      </c>
      <c r="B118" s="14" t="s">
        <v>315</v>
      </c>
      <c r="C118" s="15" t="n">
        <v>1</v>
      </c>
      <c r="D118" s="14" t="n">
        <v>2023</v>
      </c>
      <c r="E118" s="16" t="n">
        <v>94364.9641754336</v>
      </c>
      <c r="F118" s="14" t="n">
        <v>2023</v>
      </c>
      <c r="G118" s="17" t="n">
        <f aca="false">LN(E118)</f>
        <v>11.4549251410339</v>
      </c>
      <c r="H118" s="14" t="n">
        <v>3</v>
      </c>
      <c r="I118" s="14" t="s">
        <v>102</v>
      </c>
      <c r="J118" s="14" t="n">
        <v>2023</v>
      </c>
      <c r="K118" s="18"/>
      <c r="L118" s="14"/>
      <c r="M118" s="19" t="str">
        <f aca="false">IF(K118="","Missing","Observed")</f>
        <v>Missing</v>
      </c>
      <c r="N118" s="17" t="n">
        <f aca="false">LN(C118)</f>
        <v>0</v>
      </c>
      <c r="O118" s="14" t="n">
        <f aca="false">IF($H118=1,1,0)</f>
        <v>0</v>
      </c>
      <c r="P118" s="14" t="n">
        <f aca="false">IF($H118=2,1,0)</f>
        <v>0</v>
      </c>
      <c r="Q118" s="14" t="n">
        <f aca="false">IF($H118=3,1,0)</f>
        <v>1</v>
      </c>
      <c r="R118" s="14" t="str">
        <f aca="false">IF($L118="","",$L118-2018)</f>
        <v/>
      </c>
      <c r="S118" s="14"/>
    </row>
    <row r="119" customFormat="false" ht="15" hidden="false" customHeight="false" outlineLevel="0" collapsed="false">
      <c r="A119" s="14" t="s">
        <v>316</v>
      </c>
      <c r="B119" s="14" t="s">
        <v>317</v>
      </c>
      <c r="C119" s="15" t="n">
        <v>13</v>
      </c>
      <c r="D119" s="14" t="n">
        <v>2023</v>
      </c>
      <c r="E119" s="16" t="n">
        <v>37793.6163957515</v>
      </c>
      <c r="F119" s="14" t="n">
        <v>2023</v>
      </c>
      <c r="G119" s="17" t="n">
        <f aca="false">LN(E119)</f>
        <v>10.5398954889268</v>
      </c>
      <c r="H119" s="14" t="n">
        <v>0</v>
      </c>
      <c r="I119" s="14" t="s">
        <v>87</v>
      </c>
      <c r="J119" s="14" t="n">
        <v>2023</v>
      </c>
      <c r="K119" s="18" t="n">
        <v>29.7</v>
      </c>
      <c r="L119" s="14" t="n">
        <v>2014</v>
      </c>
      <c r="M119" s="19" t="str">
        <f aca="false">IF(K119="","Missing","Observed")</f>
        <v>Observed</v>
      </c>
      <c r="N119" s="17" t="n">
        <f aca="false">LN(C119)</f>
        <v>2.56494935746154</v>
      </c>
      <c r="O119" s="14" t="n">
        <f aca="false">IF($H119=1,1,0)</f>
        <v>0</v>
      </c>
      <c r="P119" s="14" t="n">
        <f aca="false">IF($H119=2,1,0)</f>
        <v>0</v>
      </c>
      <c r="Q119" s="14" t="n">
        <f aca="false">IF($H119=3,1,0)</f>
        <v>0</v>
      </c>
      <c r="R119" s="14" t="n">
        <f aca="false">IF($L119="","",$L119-2018)</f>
        <v>-4</v>
      </c>
      <c r="S119" s="14"/>
    </row>
    <row r="120" customFormat="false" ht="15" hidden="false" customHeight="false" outlineLevel="0" collapsed="false">
      <c r="A120" s="14" t="s">
        <v>318</v>
      </c>
      <c r="B120" s="14" t="s">
        <v>319</v>
      </c>
      <c r="C120" s="15" t="n">
        <v>155</v>
      </c>
      <c r="D120" s="14" t="n">
        <v>2023</v>
      </c>
      <c r="E120" s="16" t="n">
        <v>5418.7693189297</v>
      </c>
      <c r="F120" s="14" t="n">
        <v>2023</v>
      </c>
      <c r="G120" s="17" t="n">
        <f aca="false">LN(E120)</f>
        <v>8.5976240057229</v>
      </c>
      <c r="H120" s="14" t="n">
        <v>1</v>
      </c>
      <c r="I120" s="14" t="s">
        <v>93</v>
      </c>
      <c r="J120" s="14" t="n">
        <v>2023</v>
      </c>
      <c r="K120" s="18" t="n">
        <v>34</v>
      </c>
      <c r="L120" s="14" t="n">
        <v>2019</v>
      </c>
      <c r="M120" s="19" t="str">
        <f aca="false">IF(K120="","Missing","Observed")</f>
        <v>Observed</v>
      </c>
      <c r="N120" s="17" t="n">
        <f aca="false">LN(C120)</f>
        <v>5.04342511691925</v>
      </c>
      <c r="O120" s="14" t="n">
        <f aca="false">IF($H120=1,1,0)</f>
        <v>1</v>
      </c>
      <c r="P120" s="14" t="n">
        <f aca="false">IF($H120=2,1,0)</f>
        <v>0</v>
      </c>
      <c r="Q120" s="14" t="n">
        <f aca="false">IF($H120=3,1,0)</f>
        <v>0</v>
      </c>
      <c r="R120" s="14" t="n">
        <f aca="false">IF($L120="","",$L120-2018)</f>
        <v>1</v>
      </c>
      <c r="S120" s="14"/>
    </row>
    <row r="121" customFormat="false" ht="15" hidden="false" customHeight="false" outlineLevel="0" collapsed="false">
      <c r="A121" s="14" t="s">
        <v>320</v>
      </c>
      <c r="B121" s="14" t="s">
        <v>321</v>
      </c>
      <c r="C121" s="15" t="n">
        <v>37</v>
      </c>
      <c r="D121" s="14" t="n">
        <v>2023</v>
      </c>
      <c r="E121" s="16" t="n">
        <v>35872.9719200069</v>
      </c>
      <c r="F121" s="14" t="n">
        <v>2023</v>
      </c>
      <c r="G121" s="17" t="n">
        <f aca="false">LN(E121)</f>
        <v>10.4877394196174</v>
      </c>
      <c r="H121" s="14" t="n">
        <v>2</v>
      </c>
      <c r="I121" s="14" t="s">
        <v>90</v>
      </c>
      <c r="J121" s="14" t="n">
        <v>2023</v>
      </c>
      <c r="K121" s="18" t="n">
        <v>50.8</v>
      </c>
      <c r="L121" s="14" t="n">
        <v>2015</v>
      </c>
      <c r="M121" s="19" t="str">
        <f aca="false">IF(K121="","Missing","Observed")</f>
        <v>Observed</v>
      </c>
      <c r="N121" s="17" t="n">
        <f aca="false">LN(C121)</f>
        <v>3.61091791264422</v>
      </c>
      <c r="O121" s="14" t="n">
        <f aca="false">IF($H121=1,1,0)</f>
        <v>0</v>
      </c>
      <c r="P121" s="14" t="n">
        <f aca="false">IF($H121=2,1,0)</f>
        <v>1</v>
      </c>
      <c r="Q121" s="14" t="n">
        <f aca="false">IF($H121=3,1,0)</f>
        <v>0</v>
      </c>
      <c r="R121" s="14" t="n">
        <f aca="false">IF($L121="","",$L121-2018)</f>
        <v>-3</v>
      </c>
      <c r="S121" s="14"/>
    </row>
    <row r="122" customFormat="false" ht="15" hidden="false" customHeight="false" outlineLevel="0" collapsed="false">
      <c r="A122" s="14" t="s">
        <v>322</v>
      </c>
      <c r="B122" s="14" t="s">
        <v>323</v>
      </c>
      <c r="C122" s="15" t="n">
        <v>189</v>
      </c>
      <c r="D122" s="14" t="n">
        <v>2023</v>
      </c>
      <c r="E122" s="16" t="n">
        <v>4206.37834691367</v>
      </c>
      <c r="F122" s="14" t="n">
        <v>2023</v>
      </c>
      <c r="G122" s="17" t="n">
        <f aca="false">LN(E122)</f>
        <v>8.34435730630966</v>
      </c>
      <c r="H122" s="14" t="n">
        <v>1</v>
      </c>
      <c r="I122" s="14" t="s">
        <v>93</v>
      </c>
      <c r="J122" s="14" t="n">
        <v>2023</v>
      </c>
      <c r="K122" s="18" t="n">
        <v>36.7</v>
      </c>
      <c r="L122" s="14" t="n">
        <v>2018</v>
      </c>
      <c r="M122" s="19" t="str">
        <f aca="false">IF(K122="","Missing","Observed")</f>
        <v>Observed</v>
      </c>
      <c r="N122" s="17" t="n">
        <f aca="false">LN(C122)</f>
        <v>5.24174701505964</v>
      </c>
      <c r="O122" s="14" t="n">
        <f aca="false">IF($H122=1,1,0)</f>
        <v>1</v>
      </c>
      <c r="P122" s="14" t="n">
        <f aca="false">IF($H122=2,1,0)</f>
        <v>0</v>
      </c>
      <c r="Q122" s="14" t="n">
        <f aca="false">IF($H122=3,1,0)</f>
        <v>0</v>
      </c>
      <c r="R122" s="14" t="n">
        <f aca="false">IF($L122="","",$L122-2018)</f>
        <v>0</v>
      </c>
      <c r="S122" s="14"/>
    </row>
    <row r="123" customFormat="false" ht="15" hidden="false" customHeight="false" outlineLevel="0" collapsed="false">
      <c r="A123" s="14" t="s">
        <v>324</v>
      </c>
      <c r="B123" s="14" t="s">
        <v>325</v>
      </c>
      <c r="C123" s="15" t="n">
        <v>58</v>
      </c>
      <c r="D123" s="14" t="n">
        <v>2023</v>
      </c>
      <c r="E123" s="16" t="n">
        <v>15831.5849831308</v>
      </c>
      <c r="F123" s="14" t="n">
        <v>2023</v>
      </c>
      <c r="G123" s="17" t="n">
        <f aca="false">LN(E123)</f>
        <v>9.6697622731396</v>
      </c>
      <c r="H123" s="14" t="n">
        <v>2</v>
      </c>
      <c r="I123" s="14" t="s">
        <v>90</v>
      </c>
      <c r="J123" s="14" t="n">
        <v>2023</v>
      </c>
      <c r="K123" s="18" t="n">
        <v>68.35988695</v>
      </c>
      <c r="L123" s="14" t="n">
        <v>2016</v>
      </c>
      <c r="M123" s="19" t="str">
        <f aca="false">IF(K123="","Missing","Observed")</f>
        <v>Observed</v>
      </c>
      <c r="N123" s="17" t="n">
        <f aca="false">LN(C123)</f>
        <v>4.06044301054642</v>
      </c>
      <c r="O123" s="14" t="n">
        <f aca="false">IF($H123=1,1,0)</f>
        <v>0</v>
      </c>
      <c r="P123" s="14" t="n">
        <f aca="false">IF($H123=2,1,0)</f>
        <v>1</v>
      </c>
      <c r="Q123" s="14" t="n">
        <f aca="false">IF($H123=3,1,0)</f>
        <v>0</v>
      </c>
      <c r="R123" s="14" t="n">
        <f aca="false">IF($L123="","",$L123-2018)</f>
        <v>-2</v>
      </c>
      <c r="S123" s="14"/>
    </row>
    <row r="124" customFormat="false" ht="15" hidden="false" customHeight="false" outlineLevel="0" collapsed="false">
      <c r="A124" s="14" t="s">
        <v>326</v>
      </c>
      <c r="B124" s="14" t="s">
        <v>327</v>
      </c>
      <c r="C124" s="15" t="n">
        <v>51</v>
      </c>
      <c r="D124" s="14" t="n">
        <v>2023</v>
      </c>
      <c r="E124" s="16" t="n">
        <v>15342.2741359642</v>
      </c>
      <c r="F124" s="14" t="n">
        <v>2023</v>
      </c>
      <c r="G124" s="17" t="n">
        <f aca="false">LN(E124)</f>
        <v>9.63836731269256</v>
      </c>
      <c r="H124" s="14" t="n">
        <v>2</v>
      </c>
      <c r="I124" s="14" t="s">
        <v>90</v>
      </c>
      <c r="J124" s="14" t="n">
        <v>2023</v>
      </c>
      <c r="K124" s="18" t="n">
        <v>77.3</v>
      </c>
      <c r="L124" s="14" t="n">
        <v>2023</v>
      </c>
      <c r="M124" s="19" t="str">
        <f aca="false">IF(K124="","Missing","Observed")</f>
        <v>Observed</v>
      </c>
      <c r="N124" s="17" t="n">
        <f aca="false">LN(C124)</f>
        <v>3.93182563272433</v>
      </c>
      <c r="O124" s="14" t="n">
        <f aca="false">IF($H124=1,1,0)</f>
        <v>0</v>
      </c>
      <c r="P124" s="14" t="n">
        <f aca="false">IF($H124=2,1,0)</f>
        <v>1</v>
      </c>
      <c r="Q124" s="14" t="n">
        <f aca="false">IF($H124=3,1,0)</f>
        <v>0</v>
      </c>
      <c r="R124" s="14" t="n">
        <f aca="false">IF($L124="","",$L124-2018)</f>
        <v>5</v>
      </c>
      <c r="S124" s="14"/>
    </row>
    <row r="125" customFormat="false" ht="15" hidden="false" customHeight="false" outlineLevel="0" collapsed="false">
      <c r="A125" s="14" t="s">
        <v>328</v>
      </c>
      <c r="B125" s="14" t="s">
        <v>329</v>
      </c>
      <c r="C125" s="15" t="n">
        <v>84</v>
      </c>
      <c r="D125" s="14" t="n">
        <v>2023</v>
      </c>
      <c r="E125" s="16" t="n">
        <v>9898.53294588106</v>
      </c>
      <c r="F125" s="14" t="n">
        <v>2023</v>
      </c>
      <c r="G125" s="17" t="n">
        <f aca="false">LN(E125)</f>
        <v>9.20014183785712</v>
      </c>
      <c r="H125" s="14" t="n">
        <v>1</v>
      </c>
      <c r="I125" s="14" t="s">
        <v>93</v>
      </c>
      <c r="J125" s="14" t="n">
        <v>2023</v>
      </c>
      <c r="K125" s="18" t="n">
        <v>58.3</v>
      </c>
      <c r="L125" s="14" t="n">
        <v>2022</v>
      </c>
      <c r="M125" s="19" t="str">
        <f aca="false">IF(K125="","Missing","Observed")</f>
        <v>Observed</v>
      </c>
      <c r="N125" s="17" t="n">
        <f aca="false">LN(C125)</f>
        <v>4.43081679884331</v>
      </c>
      <c r="O125" s="14" t="n">
        <f aca="false">IF($H125=1,1,0)</f>
        <v>1</v>
      </c>
      <c r="P125" s="14" t="n">
        <f aca="false">IF($H125=2,1,0)</f>
        <v>0</v>
      </c>
      <c r="Q125" s="14" t="n">
        <f aca="false">IF($H125=3,1,0)</f>
        <v>0</v>
      </c>
      <c r="R125" s="14" t="n">
        <f aca="false">IF($L125="","",$L125-2018)</f>
        <v>4</v>
      </c>
      <c r="S125" s="14"/>
    </row>
    <row r="126" customFormat="false" ht="15" hidden="false" customHeight="false" outlineLevel="0" collapsed="false">
      <c r="A126" s="14" t="s">
        <v>330</v>
      </c>
      <c r="B126" s="14" t="s">
        <v>331</v>
      </c>
      <c r="C126" s="15" t="n">
        <v>2</v>
      </c>
      <c r="D126" s="14" t="n">
        <v>2023</v>
      </c>
      <c r="E126" s="16" t="n">
        <v>43672.7668014946</v>
      </c>
      <c r="F126" s="14" t="n">
        <v>2023</v>
      </c>
      <c r="G126" s="17" t="n">
        <f aca="false">LN(E126)</f>
        <v>10.6844800015025</v>
      </c>
      <c r="H126" s="14" t="n">
        <v>2</v>
      </c>
      <c r="I126" s="14" t="s">
        <v>90</v>
      </c>
      <c r="J126" s="14" t="n">
        <v>2023</v>
      </c>
      <c r="K126" s="18" t="n">
        <v>63.2</v>
      </c>
      <c r="L126" s="14" t="n">
        <v>2014</v>
      </c>
      <c r="M126" s="19" t="str">
        <f aca="false">IF(K126="","Missing","Observed")</f>
        <v>Observed</v>
      </c>
      <c r="N126" s="17" t="n">
        <f aca="false">LN(C126)</f>
        <v>0.693147180559945</v>
      </c>
      <c r="O126" s="14" t="n">
        <f aca="false">IF($H126=1,1,0)</f>
        <v>0</v>
      </c>
      <c r="P126" s="14" t="n">
        <f aca="false">IF($H126=2,1,0)</f>
        <v>1</v>
      </c>
      <c r="Q126" s="14" t="n">
        <f aca="false">IF($H126=3,1,0)</f>
        <v>0</v>
      </c>
      <c r="R126" s="14" t="n">
        <f aca="false">IF($L126="","",$L126-2018)</f>
        <v>-4</v>
      </c>
      <c r="S126" s="14"/>
    </row>
    <row r="127" customFormat="false" ht="15" hidden="false" customHeight="false" outlineLevel="0" collapsed="false">
      <c r="A127" s="14" t="s">
        <v>332</v>
      </c>
      <c r="B127" s="14" t="s">
        <v>333</v>
      </c>
      <c r="C127" s="15" t="n">
        <v>15</v>
      </c>
      <c r="D127" s="14" t="n">
        <v>2023</v>
      </c>
      <c r="E127" s="16" t="n">
        <v>41768.2583096874</v>
      </c>
      <c r="F127" s="14" t="n">
        <v>2023</v>
      </c>
      <c r="G127" s="17" t="n">
        <f aca="false">LN(E127)</f>
        <v>10.6398919594633</v>
      </c>
      <c r="H127" s="14" t="n">
        <v>2</v>
      </c>
      <c r="I127" s="14" t="s">
        <v>90</v>
      </c>
      <c r="J127" s="14" t="n">
        <v>2023</v>
      </c>
      <c r="K127" s="18" t="n">
        <v>73.8869860463731</v>
      </c>
      <c r="L127" s="14" t="n">
        <v>2014</v>
      </c>
      <c r="M127" s="19" t="str">
        <f aca="false">IF(K127="","Missing","Observed")</f>
        <v>Observed</v>
      </c>
      <c r="N127" s="17" t="n">
        <f aca="false">LN(C127)</f>
        <v>2.70805020110221</v>
      </c>
      <c r="O127" s="14" t="n">
        <f aca="false">IF($H127=1,1,0)</f>
        <v>0</v>
      </c>
      <c r="P127" s="14" t="n">
        <f aca="false">IF($H127=2,1,0)</f>
        <v>1</v>
      </c>
      <c r="Q127" s="14" t="n">
        <f aca="false">IF($H127=3,1,0)</f>
        <v>0</v>
      </c>
      <c r="R127" s="14" t="n">
        <f aca="false">IF($L127="","",$L127-2018)</f>
        <v>-4</v>
      </c>
      <c r="S127" s="14"/>
    </row>
    <row r="128" customFormat="false" ht="15" hidden="false" customHeight="false" outlineLevel="0" collapsed="false">
      <c r="A128" s="14" t="s">
        <v>334</v>
      </c>
      <c r="B128" s="14" t="s">
        <v>335</v>
      </c>
      <c r="C128" s="15" t="n">
        <v>4</v>
      </c>
      <c r="D128" s="14" t="n">
        <v>2023</v>
      </c>
      <c r="E128" s="16" t="n">
        <v>116159.142564088</v>
      </c>
      <c r="F128" s="14" t="n">
        <v>2023</v>
      </c>
      <c r="G128" s="17" t="n">
        <f aca="false">LN(E128)</f>
        <v>11.6627164485239</v>
      </c>
      <c r="H128" s="14" t="n">
        <v>0</v>
      </c>
      <c r="I128" s="14" t="s">
        <v>87</v>
      </c>
      <c r="J128" s="14" t="n">
        <v>2023</v>
      </c>
      <c r="K128" s="18" t="n">
        <v>37.52185226</v>
      </c>
      <c r="L128" s="14" t="n">
        <v>2012</v>
      </c>
      <c r="M128" s="19" t="str">
        <f aca="false">IF(K128="","Missing","Observed")</f>
        <v>Observed</v>
      </c>
      <c r="N128" s="17" t="n">
        <f aca="false">LN(C128)</f>
        <v>1.38629436111989</v>
      </c>
      <c r="O128" s="14" t="n">
        <f aca="false">IF($H128=1,1,0)</f>
        <v>0</v>
      </c>
      <c r="P128" s="14" t="n">
        <f aca="false">IF($H128=2,1,0)</f>
        <v>0</v>
      </c>
      <c r="Q128" s="14" t="n">
        <f aca="false">IF($H128=3,1,0)</f>
        <v>0</v>
      </c>
      <c r="R128" s="14" t="n">
        <f aca="false">IF($L128="","",$L128-2018)</f>
        <v>-6</v>
      </c>
      <c r="S128" s="14"/>
    </row>
    <row r="129" customFormat="false" ht="15" hidden="false" customHeight="false" outlineLevel="0" collapsed="false">
      <c r="A129" s="14" t="s">
        <v>336</v>
      </c>
      <c r="B129" s="14" t="s">
        <v>337</v>
      </c>
      <c r="C129" s="15" t="n">
        <v>12</v>
      </c>
      <c r="D129" s="14" t="n">
        <v>2023</v>
      </c>
      <c r="E129" s="16" t="n">
        <v>40116.6891416904</v>
      </c>
      <c r="F129" s="14" t="n">
        <v>2023</v>
      </c>
      <c r="G129" s="17" t="n">
        <f aca="false">LN(E129)</f>
        <v>10.5995477147845</v>
      </c>
      <c r="H129" s="14" t="n">
        <v>2</v>
      </c>
      <c r="I129" s="14" t="s">
        <v>90</v>
      </c>
      <c r="J129" s="14" t="n">
        <v>2023</v>
      </c>
      <c r="K129" s="18"/>
      <c r="L129" s="14"/>
      <c r="M129" s="19" t="str">
        <f aca="false">IF(K129="","Missing","Observed")</f>
        <v>Missing</v>
      </c>
      <c r="N129" s="17" t="n">
        <f aca="false">LN(C129)</f>
        <v>2.484906649788</v>
      </c>
      <c r="O129" s="14" t="n">
        <f aca="false">IF($H129=1,1,0)</f>
        <v>0</v>
      </c>
      <c r="P129" s="14" t="n">
        <f aca="false">IF($H129=2,1,0)</f>
        <v>1</v>
      </c>
      <c r="Q129" s="14" t="n">
        <f aca="false">IF($H129=3,1,0)</f>
        <v>0</v>
      </c>
      <c r="R129" s="14" t="str">
        <f aca="false">IF($L129="","",$L129-2018)</f>
        <v/>
      </c>
      <c r="S129" s="14"/>
    </row>
    <row r="130" customFormat="false" ht="15" hidden="false" customHeight="false" outlineLevel="0" collapsed="false">
      <c r="A130" s="14" t="s">
        <v>338</v>
      </c>
      <c r="B130" s="14" t="s">
        <v>339</v>
      </c>
      <c r="C130" s="15" t="n">
        <v>9</v>
      </c>
      <c r="D130" s="14" t="n">
        <v>2023</v>
      </c>
      <c r="E130" s="16" t="n">
        <v>39881.44921875</v>
      </c>
      <c r="F130" s="14" t="n">
        <v>2023</v>
      </c>
      <c r="G130" s="17" t="n">
        <f aca="false">LN(E130)</f>
        <v>10.5936665629027</v>
      </c>
      <c r="H130" s="14" t="n">
        <v>1</v>
      </c>
      <c r="I130" s="14" t="s">
        <v>93</v>
      </c>
      <c r="J130" s="14" t="n">
        <v>2023</v>
      </c>
      <c r="K130" s="18" t="n">
        <v>68</v>
      </c>
      <c r="L130" s="14" t="n">
        <v>2011</v>
      </c>
      <c r="M130" s="19" t="str">
        <f aca="false">IF(K130="","Missing","Observed")</f>
        <v>Observed</v>
      </c>
      <c r="N130" s="17" t="n">
        <f aca="false">LN(C130)</f>
        <v>2.19722457733622</v>
      </c>
      <c r="O130" s="14" t="n">
        <f aca="false">IF($H130=1,1,0)</f>
        <v>1</v>
      </c>
      <c r="P130" s="14" t="n">
        <f aca="false">IF($H130=2,1,0)</f>
        <v>0</v>
      </c>
      <c r="Q130" s="14" t="n">
        <f aca="false">IF($H130=3,1,0)</f>
        <v>0</v>
      </c>
      <c r="R130" s="14" t="n">
        <f aca="false">IF($L130="","",$L130-2018)</f>
        <v>-7</v>
      </c>
      <c r="S130" s="14"/>
    </row>
    <row r="131" customFormat="false" ht="15" hidden="false" customHeight="false" outlineLevel="0" collapsed="false">
      <c r="A131" s="14" t="s">
        <v>340</v>
      </c>
      <c r="B131" s="14" t="s">
        <v>341</v>
      </c>
      <c r="C131" s="15" t="n">
        <v>229</v>
      </c>
      <c r="D131" s="14" t="n">
        <v>2023</v>
      </c>
      <c r="E131" s="16" t="n">
        <v>3168.03075281515</v>
      </c>
      <c r="F131" s="14" t="n">
        <v>2023</v>
      </c>
      <c r="G131" s="17" t="n">
        <f aca="false">LN(E131)</f>
        <v>8.06086546021522</v>
      </c>
      <c r="H131" s="14" t="n">
        <v>1</v>
      </c>
      <c r="I131" s="14" t="s">
        <v>93</v>
      </c>
      <c r="J131" s="14" t="n">
        <v>2023</v>
      </c>
      <c r="K131" s="18" t="n">
        <v>64.1</v>
      </c>
      <c r="L131" s="14" t="n">
        <v>2020</v>
      </c>
      <c r="M131" s="19" t="str">
        <f aca="false">IF(K131="","Missing","Observed")</f>
        <v>Observed</v>
      </c>
      <c r="N131" s="17" t="n">
        <f aca="false">LN(C131)</f>
        <v>5.43372200355424</v>
      </c>
      <c r="O131" s="14" t="n">
        <f aca="false">IF($H131=1,1,0)</f>
        <v>1</v>
      </c>
      <c r="P131" s="14" t="n">
        <f aca="false">IF($H131=2,1,0)</f>
        <v>0</v>
      </c>
      <c r="Q131" s="14" t="n">
        <f aca="false">IF($H131=3,1,0)</f>
        <v>0</v>
      </c>
      <c r="R131" s="14" t="n">
        <f aca="false">IF($L131="","",$L131-2018)</f>
        <v>2</v>
      </c>
      <c r="S131" s="14"/>
    </row>
    <row r="132" customFormat="false" ht="15" hidden="false" customHeight="false" outlineLevel="0" collapsed="false">
      <c r="A132" s="14" t="s">
        <v>342</v>
      </c>
      <c r="B132" s="14" t="s">
        <v>343</v>
      </c>
      <c r="C132" s="15" t="n">
        <v>75</v>
      </c>
      <c r="D132" s="14" t="n">
        <v>2023</v>
      </c>
      <c r="E132" s="16" t="n">
        <v>5541.3016760535</v>
      </c>
      <c r="F132" s="14" t="n">
        <v>2023</v>
      </c>
      <c r="G132" s="17" t="n">
        <f aca="false">LN(E132)</f>
        <v>8.6199847117191</v>
      </c>
      <c r="H132" s="14" t="n">
        <v>2</v>
      </c>
      <c r="I132" s="14" t="s">
        <v>90</v>
      </c>
      <c r="J132" s="14" t="n">
        <v>2023</v>
      </c>
      <c r="K132" s="18" t="n">
        <v>49.6820543663491</v>
      </c>
      <c r="L132" s="14" t="n">
        <v>2019</v>
      </c>
      <c r="M132" s="19" t="str">
        <f aca="false">IF(K132="","Missing","Observed")</f>
        <v>Observed</v>
      </c>
      <c r="N132" s="17" t="n">
        <f aca="false">LN(C132)</f>
        <v>4.31748811353631</v>
      </c>
      <c r="O132" s="14" t="n">
        <f aca="false">IF($H132=1,1,0)</f>
        <v>0</v>
      </c>
      <c r="P132" s="14" t="n">
        <f aca="false">IF($H132=2,1,0)</f>
        <v>1</v>
      </c>
      <c r="Q132" s="14" t="n">
        <f aca="false">IF($H132=3,1,0)</f>
        <v>0</v>
      </c>
      <c r="R132" s="14" t="n">
        <f aca="false">IF($L132="","",$L132-2018)</f>
        <v>1</v>
      </c>
      <c r="S132" s="14"/>
    </row>
    <row r="133" customFormat="false" ht="15" hidden="false" customHeight="false" outlineLevel="0" collapsed="false">
      <c r="A133" s="14" t="s">
        <v>344</v>
      </c>
      <c r="B133" s="14" t="s">
        <v>345</v>
      </c>
      <c r="C133" s="15" t="n">
        <v>7</v>
      </c>
      <c r="D133" s="14" t="n">
        <v>2023</v>
      </c>
      <c r="E133" s="16" t="n">
        <v>64481.8441927288</v>
      </c>
      <c r="F133" s="14" t="n">
        <v>2023</v>
      </c>
      <c r="G133" s="17" t="n">
        <f aca="false">LN(E133)</f>
        <v>11.0741389777754</v>
      </c>
      <c r="H133" s="14" t="n">
        <v>0</v>
      </c>
      <c r="I133" s="14" t="s">
        <v>87</v>
      </c>
      <c r="J133" s="14" t="n">
        <v>2023</v>
      </c>
      <c r="K133" s="18" t="n">
        <v>39.9921873361432</v>
      </c>
      <c r="L133" s="14" t="n">
        <v>2023</v>
      </c>
      <c r="M133" s="19" t="str">
        <f aca="false">IF(K133="","Missing","Observed")</f>
        <v>Observed</v>
      </c>
      <c r="N133" s="17" t="n">
        <f aca="false">LN(C133)</f>
        <v>1.94591014905531</v>
      </c>
      <c r="O133" s="14" t="n">
        <f aca="false">IF($H133=1,1,0)</f>
        <v>0</v>
      </c>
      <c r="P133" s="14" t="n">
        <f aca="false">IF($H133=2,1,0)</f>
        <v>0</v>
      </c>
      <c r="Q133" s="14" t="n">
        <f aca="false">IF($H133=3,1,0)</f>
        <v>0</v>
      </c>
      <c r="R133" s="14" t="n">
        <f aca="false">IF($L133="","",$L133-2018)</f>
        <v>5</v>
      </c>
      <c r="S133" s="14"/>
    </row>
    <row r="134" customFormat="false" ht="15" hidden="false" customHeight="false" outlineLevel="0" collapsed="false">
      <c r="A134" s="14" t="s">
        <v>346</v>
      </c>
      <c r="B134" s="14" t="s">
        <v>347</v>
      </c>
      <c r="C134" s="15" t="n">
        <v>237</v>
      </c>
      <c r="D134" s="14" t="n">
        <v>2023</v>
      </c>
      <c r="E134" s="16" t="n">
        <v>4304.76148721773</v>
      </c>
      <c r="F134" s="14" t="n">
        <v>2023</v>
      </c>
      <c r="G134" s="17" t="n">
        <f aca="false">LN(E134)</f>
        <v>8.36747701166096</v>
      </c>
      <c r="H134" s="14" t="n">
        <v>2</v>
      </c>
      <c r="I134" s="14" t="s">
        <v>90</v>
      </c>
      <c r="J134" s="14" t="n">
        <v>2023</v>
      </c>
      <c r="K134" s="18" t="n">
        <v>26.5</v>
      </c>
      <c r="L134" s="14" t="n">
        <v>2023</v>
      </c>
      <c r="M134" s="19" t="str">
        <f aca="false">IF(K134="","Missing","Observed")</f>
        <v>Observed</v>
      </c>
      <c r="N134" s="17" t="n">
        <f aca="false">LN(C134)</f>
        <v>5.46806014113513</v>
      </c>
      <c r="O134" s="14" t="n">
        <f aca="false">IF($H134=1,1,0)</f>
        <v>0</v>
      </c>
      <c r="P134" s="14" t="n">
        <f aca="false">IF($H134=2,1,0)</f>
        <v>1</v>
      </c>
      <c r="Q134" s="14" t="n">
        <f aca="false">IF($H134=3,1,0)</f>
        <v>0</v>
      </c>
      <c r="R134" s="14" t="n">
        <f aca="false">IF($L134="","",$L134-2018)</f>
        <v>5</v>
      </c>
      <c r="S134" s="14"/>
    </row>
    <row r="135" customFormat="false" ht="15" hidden="false" customHeight="false" outlineLevel="0" collapsed="false">
      <c r="A135" s="14" t="s">
        <v>348</v>
      </c>
      <c r="B135" s="14" t="s">
        <v>349</v>
      </c>
      <c r="C135" s="15" t="n">
        <v>11</v>
      </c>
      <c r="D135" s="14" t="n">
        <v>2023</v>
      </c>
      <c r="E135" s="16" t="n">
        <v>25735.1334774195</v>
      </c>
      <c r="F135" s="14" t="n">
        <v>2023</v>
      </c>
      <c r="G135" s="17" t="n">
        <f aca="false">LN(E135)</f>
        <v>10.1556123986838</v>
      </c>
      <c r="H135" s="14" t="n">
        <v>1</v>
      </c>
      <c r="I135" s="14" t="s">
        <v>93</v>
      </c>
      <c r="J135" s="14" t="n">
        <v>2023</v>
      </c>
      <c r="K135" s="18" t="n">
        <v>62.2958961009131</v>
      </c>
      <c r="L135" s="14" t="n">
        <v>2019</v>
      </c>
      <c r="M135" s="19" t="str">
        <f aca="false">IF(K135="","Missing","Observed")</f>
        <v>Observed</v>
      </c>
      <c r="N135" s="17" t="n">
        <f aca="false">LN(C135)</f>
        <v>2.39789527279837</v>
      </c>
      <c r="O135" s="14" t="n">
        <f aca="false">IF($H135=1,1,0)</f>
        <v>1</v>
      </c>
      <c r="P135" s="14" t="n">
        <f aca="false">IF($H135=2,1,0)</f>
        <v>0</v>
      </c>
      <c r="Q135" s="14" t="n">
        <f aca="false">IF($H135=3,1,0)</f>
        <v>0</v>
      </c>
      <c r="R135" s="14" t="n">
        <f aca="false">IF($L135="","",$L135-2018)</f>
        <v>1</v>
      </c>
      <c r="S135" s="14"/>
    </row>
    <row r="136" customFormat="false" ht="15" hidden="false" customHeight="false" outlineLevel="0" collapsed="false">
      <c r="A136" s="14" t="s">
        <v>350</v>
      </c>
      <c r="B136" s="14" t="s">
        <v>351</v>
      </c>
      <c r="C136" s="15" t="n">
        <v>42</v>
      </c>
      <c r="D136" s="14" t="n">
        <v>2023</v>
      </c>
      <c r="E136" s="16" t="n">
        <v>28713.6672353088</v>
      </c>
      <c r="F136" s="14" t="n">
        <v>2023</v>
      </c>
      <c r="G136" s="17" t="n">
        <f aca="false">LN(E136)</f>
        <v>10.2651284986851</v>
      </c>
      <c r="H136" s="14" t="n">
        <v>3</v>
      </c>
      <c r="I136" s="14" t="s">
        <v>102</v>
      </c>
      <c r="J136" s="14" t="n">
        <v>2023</v>
      </c>
      <c r="K136" s="18"/>
      <c r="L136" s="14"/>
      <c r="M136" s="19" t="str">
        <f aca="false">IF(K136="","Missing","Observed")</f>
        <v>Missing</v>
      </c>
      <c r="N136" s="17" t="n">
        <f aca="false">LN(C136)</f>
        <v>3.73766961828337</v>
      </c>
      <c r="O136" s="14" t="n">
        <f aca="false">IF($H136=1,1,0)</f>
        <v>0</v>
      </c>
      <c r="P136" s="14" t="n">
        <f aca="false">IF($H136=2,1,0)</f>
        <v>0</v>
      </c>
      <c r="Q136" s="14" t="n">
        <f aca="false">IF($H136=3,1,0)</f>
        <v>1</v>
      </c>
      <c r="R136" s="14" t="str">
        <f aca="false">IF($L136="","",$L136-2018)</f>
        <v/>
      </c>
      <c r="S136" s="14"/>
    </row>
    <row r="137" customFormat="false" ht="15" hidden="false" customHeight="false" outlineLevel="0" collapsed="false">
      <c r="A137" s="14" t="s">
        <v>352</v>
      </c>
      <c r="B137" s="14" t="s">
        <v>353</v>
      </c>
      <c r="C137" s="15" t="n">
        <v>354</v>
      </c>
      <c r="D137" s="14" t="n">
        <v>2023</v>
      </c>
      <c r="E137" s="16" t="n">
        <v>3034.94608192505</v>
      </c>
      <c r="F137" s="14" t="n">
        <v>2023</v>
      </c>
      <c r="G137" s="17" t="n">
        <f aca="false">LN(E137)</f>
        <v>8.01794893790747</v>
      </c>
      <c r="H137" s="14" t="n">
        <v>1</v>
      </c>
      <c r="I137" s="14" t="s">
        <v>93</v>
      </c>
      <c r="J137" s="14" t="n">
        <v>2023</v>
      </c>
      <c r="K137" s="18" t="n">
        <v>21.2</v>
      </c>
      <c r="L137" s="14" t="n">
        <v>2019</v>
      </c>
      <c r="M137" s="19" t="str">
        <f aca="false">IF(K137="","Missing","Observed")</f>
        <v>Observed</v>
      </c>
      <c r="N137" s="17" t="n">
        <f aca="false">LN(C137)</f>
        <v>5.86929691313377</v>
      </c>
      <c r="O137" s="14" t="n">
        <f aca="false">IF($H137=1,1,0)</f>
        <v>1</v>
      </c>
      <c r="P137" s="14" t="n">
        <f aca="false">IF($H137=2,1,0)</f>
        <v>0</v>
      </c>
      <c r="Q137" s="14" t="n">
        <f aca="false">IF($H137=3,1,0)</f>
        <v>0</v>
      </c>
      <c r="R137" s="14" t="n">
        <f aca="false">IF($L137="","",$L137-2018)</f>
        <v>1</v>
      </c>
      <c r="S137" s="14"/>
    </row>
    <row r="138" customFormat="false" ht="15" hidden="false" customHeight="false" outlineLevel="0" collapsed="false">
      <c r="A138" s="14" t="s">
        <v>354</v>
      </c>
      <c r="B138" s="14" t="s">
        <v>355</v>
      </c>
      <c r="C138" s="15" t="n">
        <v>6</v>
      </c>
      <c r="D138" s="14" t="n">
        <v>2023</v>
      </c>
      <c r="E138" s="16" t="n">
        <v>130296.843789261</v>
      </c>
      <c r="F138" s="14" t="n">
        <v>2023</v>
      </c>
      <c r="G138" s="17" t="n">
        <f aca="false">LN(E138)</f>
        <v>11.7775705401738</v>
      </c>
      <c r="H138" s="14" t="n">
        <v>1</v>
      </c>
      <c r="I138" s="14" t="s">
        <v>93</v>
      </c>
      <c r="J138" s="14" t="n">
        <v>2023</v>
      </c>
      <c r="K138" s="18"/>
      <c r="L138" s="14"/>
      <c r="M138" s="19" t="str">
        <f aca="false">IF(K138="","Missing","Observed")</f>
        <v>Missing</v>
      </c>
      <c r="N138" s="17" t="n">
        <f aca="false">LN(C138)</f>
        <v>1.79175946922806</v>
      </c>
      <c r="O138" s="14" t="n">
        <f aca="false">IF($H138=1,1,0)</f>
        <v>1</v>
      </c>
      <c r="P138" s="14" t="n">
        <f aca="false">IF($H138=2,1,0)</f>
        <v>0</v>
      </c>
      <c r="Q138" s="14" t="n">
        <f aca="false">IF($H138=3,1,0)</f>
        <v>0</v>
      </c>
      <c r="R138" s="14" t="str">
        <f aca="false">IF($L138="","",$L138-2018)</f>
        <v/>
      </c>
      <c r="S138" s="14"/>
    </row>
    <row r="139" customFormat="false" ht="15" hidden="false" customHeight="false" outlineLevel="0" collapsed="false">
      <c r="A139" s="14" t="s">
        <v>356</v>
      </c>
      <c r="B139" s="14" t="s">
        <v>357</v>
      </c>
      <c r="C139" s="15" t="n">
        <v>4</v>
      </c>
      <c r="D139" s="14" t="n">
        <v>2023</v>
      </c>
      <c r="E139" s="16" t="n">
        <v>39501.9474231962</v>
      </c>
      <c r="F139" s="14" t="n">
        <v>2023</v>
      </c>
      <c r="G139" s="17" t="n">
        <f aca="false">LN(E139)</f>
        <v>10.584105251527</v>
      </c>
      <c r="H139" s="14" t="n">
        <v>2</v>
      </c>
      <c r="I139" s="14" t="s">
        <v>90</v>
      </c>
      <c r="J139" s="14" t="n">
        <v>2023</v>
      </c>
      <c r="K139" s="18"/>
      <c r="L139" s="14"/>
      <c r="M139" s="19" t="str">
        <f aca="false">IF(K139="","Missing","Observed")</f>
        <v>Missing</v>
      </c>
      <c r="N139" s="17" t="n">
        <f aca="false">LN(C139)</f>
        <v>1.38629436111989</v>
      </c>
      <c r="O139" s="14" t="n">
        <f aca="false">IF($H139=1,1,0)</f>
        <v>0</v>
      </c>
      <c r="P139" s="14" t="n">
        <f aca="false">IF($H139=2,1,0)</f>
        <v>1</v>
      </c>
      <c r="Q139" s="14" t="n">
        <f aca="false">IF($H139=3,1,0)</f>
        <v>0</v>
      </c>
      <c r="R139" s="14" t="str">
        <f aca="false">IF($L139="","",$L139-2018)</f>
        <v/>
      </c>
      <c r="S139" s="14"/>
    </row>
    <row r="140" customFormat="false" ht="15" hidden="false" customHeight="false" outlineLevel="0" collapsed="false">
      <c r="A140" s="14" t="s">
        <v>358</v>
      </c>
      <c r="B140" s="14" t="s">
        <v>359</v>
      </c>
      <c r="C140" s="15" t="n">
        <v>3</v>
      </c>
      <c r="D140" s="14" t="n">
        <v>2023</v>
      </c>
      <c r="E140" s="16" t="n">
        <v>47986.4195855821</v>
      </c>
      <c r="F140" s="14" t="n">
        <v>2023</v>
      </c>
      <c r="G140" s="17" t="n">
        <f aca="false">LN(E140)</f>
        <v>10.7786733245587</v>
      </c>
      <c r="H140" s="14" t="n">
        <v>2</v>
      </c>
      <c r="I140" s="14" t="s">
        <v>90</v>
      </c>
      <c r="J140" s="14" t="n">
        <v>2023</v>
      </c>
      <c r="K140" s="18"/>
      <c r="L140" s="14"/>
      <c r="M140" s="19" t="str">
        <f aca="false">IF(K140="","Missing","Observed")</f>
        <v>Missing</v>
      </c>
      <c r="N140" s="17" t="n">
        <f aca="false">LN(C140)</f>
        <v>1.09861228866811</v>
      </c>
      <c r="O140" s="14" t="n">
        <f aca="false">IF($H140=1,1,0)</f>
        <v>0</v>
      </c>
      <c r="P140" s="14" t="n">
        <f aca="false">IF($H140=2,1,0)</f>
        <v>1</v>
      </c>
      <c r="Q140" s="14" t="n">
        <f aca="false">IF($H140=3,1,0)</f>
        <v>0</v>
      </c>
      <c r="R140" s="14" t="str">
        <f aca="false">IF($L140="","",$L140-2018)</f>
        <v/>
      </c>
      <c r="S140" s="14"/>
    </row>
    <row r="141" customFormat="false" ht="15" hidden="false" customHeight="false" outlineLevel="0" collapsed="false">
      <c r="A141" s="14" t="s">
        <v>360</v>
      </c>
      <c r="B141" s="14" t="s">
        <v>361</v>
      </c>
      <c r="C141" s="15" t="n">
        <v>123</v>
      </c>
      <c r="D141" s="14" t="n">
        <v>2023</v>
      </c>
      <c r="E141" s="16" t="n">
        <v>2339.87469992347</v>
      </c>
      <c r="F141" s="14" t="n">
        <v>2023</v>
      </c>
      <c r="G141" s="17" t="n">
        <f aca="false">LN(E141)</f>
        <v>7.7578526598768</v>
      </c>
      <c r="H141" s="14" t="n">
        <v>2</v>
      </c>
      <c r="I141" s="14" t="s">
        <v>90</v>
      </c>
      <c r="J141" s="14" t="n">
        <v>2023</v>
      </c>
      <c r="K141" s="18" t="n">
        <v>29.3</v>
      </c>
      <c r="L141" s="14" t="n">
        <v>2015</v>
      </c>
      <c r="M141" s="19" t="str">
        <f aca="false">IF(K141="","Missing","Observed")</f>
        <v>Observed</v>
      </c>
      <c r="N141" s="17" t="n">
        <f aca="false">LN(C141)</f>
        <v>4.81218435537242</v>
      </c>
      <c r="O141" s="14" t="n">
        <f aca="false">IF($H141=1,1,0)</f>
        <v>0</v>
      </c>
      <c r="P141" s="14" t="n">
        <f aca="false">IF($H141=2,1,0)</f>
        <v>1</v>
      </c>
      <c r="Q141" s="14" t="n">
        <f aca="false">IF($H141=3,1,0)</f>
        <v>0</v>
      </c>
      <c r="R141" s="14" t="n">
        <f aca="false">IF($L141="","",$L141-2018)</f>
        <v>-3</v>
      </c>
      <c r="S141" s="14"/>
    </row>
    <row r="142" customFormat="false" ht="15" hidden="false" customHeight="false" outlineLevel="0" collapsed="false">
      <c r="A142" s="14" t="s">
        <v>362</v>
      </c>
      <c r="B142" s="14" t="s">
        <v>363</v>
      </c>
      <c r="C142" s="15" t="n">
        <v>563</v>
      </c>
      <c r="D142" s="14" t="n">
        <v>2023</v>
      </c>
      <c r="E142" s="16" t="n">
        <v>1401.64735228455</v>
      </c>
      <c r="F142" s="14" t="n">
        <v>2023</v>
      </c>
      <c r="G142" s="17" t="n">
        <f aca="false">LN(E142)</f>
        <v>7.24540350406104</v>
      </c>
      <c r="H142" s="14" t="n">
        <v>0</v>
      </c>
      <c r="I142" s="14" t="s">
        <v>87</v>
      </c>
      <c r="J142" s="14" t="n">
        <v>2023</v>
      </c>
      <c r="K142" s="18" t="n">
        <v>6.9</v>
      </c>
      <c r="L142" s="14" t="n">
        <v>2019</v>
      </c>
      <c r="M142" s="19" t="str">
        <f aca="false">IF(K142="","Missing","Observed")</f>
        <v>Observed</v>
      </c>
      <c r="N142" s="17" t="n">
        <f aca="false">LN(C142)</f>
        <v>6.33327962813969</v>
      </c>
      <c r="O142" s="14" t="n">
        <f aca="false">IF($H142=1,1,0)</f>
        <v>0</v>
      </c>
      <c r="P142" s="14" t="n">
        <f aca="false">IF($H142=2,1,0)</f>
        <v>0</v>
      </c>
      <c r="Q142" s="14" t="n">
        <f aca="false">IF($H142=3,1,0)</f>
        <v>0</v>
      </c>
      <c r="R142" s="14" t="n">
        <f aca="false">IF($L142="","",$L142-2018)</f>
        <v>1</v>
      </c>
      <c r="S142" s="14"/>
    </row>
    <row r="143" customFormat="false" ht="15" hidden="false" customHeight="false" outlineLevel="0" collapsed="false">
      <c r="A143" s="14" t="s">
        <v>364</v>
      </c>
      <c r="B143" s="14" t="s">
        <v>365</v>
      </c>
      <c r="C143" s="15" t="n">
        <v>118</v>
      </c>
      <c r="D143" s="14" t="n">
        <v>2023</v>
      </c>
      <c r="E143" s="16" t="n">
        <v>13695.3755694076</v>
      </c>
      <c r="F143" s="14" t="n">
        <v>2023</v>
      </c>
      <c r="G143" s="17" t="n">
        <f aca="false">LN(E143)</f>
        <v>9.52481350515522</v>
      </c>
      <c r="H143" s="14" t="n">
        <v>2</v>
      </c>
      <c r="I143" s="14" t="s">
        <v>90</v>
      </c>
      <c r="J143" s="14" t="n">
        <v>2023</v>
      </c>
      <c r="K143" s="18" t="n">
        <v>54.6</v>
      </c>
      <c r="L143" s="14" t="n">
        <v>2016</v>
      </c>
      <c r="M143" s="19" t="str">
        <f aca="false">IF(K143="","Missing","Observed")</f>
        <v>Observed</v>
      </c>
      <c r="N143" s="17" t="n">
        <f aca="false">LN(C143)</f>
        <v>4.77068462446567</v>
      </c>
      <c r="O143" s="14" t="n">
        <f aca="false">IF($H143=1,1,0)</f>
        <v>0</v>
      </c>
      <c r="P143" s="14" t="n">
        <f aca="false">IF($H143=2,1,0)</f>
        <v>1</v>
      </c>
      <c r="Q143" s="14" t="n">
        <f aca="false">IF($H143=3,1,0)</f>
        <v>0</v>
      </c>
      <c r="R143" s="14" t="n">
        <f aca="false">IF($L143="","",$L143-2018)</f>
        <v>-2</v>
      </c>
      <c r="S143" s="14"/>
    </row>
    <row r="144" customFormat="false" ht="15" hidden="false" customHeight="false" outlineLevel="0" collapsed="false">
      <c r="A144" s="14" t="s">
        <v>366</v>
      </c>
      <c r="B144" s="14" t="s">
        <v>367</v>
      </c>
      <c r="C144" s="15" t="n">
        <v>3</v>
      </c>
      <c r="D144" s="14" t="n">
        <v>2023</v>
      </c>
      <c r="E144" s="16" t="n">
        <v>47322.5937004504</v>
      </c>
      <c r="F144" s="14" t="n">
        <v>2023</v>
      </c>
      <c r="G144" s="17" t="n">
        <f aca="false">LN(E144)</f>
        <v>10.7647431285186</v>
      </c>
      <c r="H144" s="14" t="n">
        <v>3</v>
      </c>
      <c r="I144" s="14" t="s">
        <v>102</v>
      </c>
      <c r="J144" s="14" t="n">
        <v>2023</v>
      </c>
      <c r="K144" s="18" t="n">
        <v>62.0757</v>
      </c>
      <c r="L144" s="14" t="n">
        <v>2018</v>
      </c>
      <c r="M144" s="19" t="str">
        <f aca="false">IF(K144="","Missing","Observed")</f>
        <v>Observed</v>
      </c>
      <c r="N144" s="17" t="n">
        <f aca="false">LN(C144)</f>
        <v>1.09861228866811</v>
      </c>
      <c r="O144" s="14" t="n">
        <f aca="false">IF($H144=1,1,0)</f>
        <v>0</v>
      </c>
      <c r="P144" s="14" t="n">
        <f aca="false">IF($H144=2,1,0)</f>
        <v>0</v>
      </c>
      <c r="Q144" s="14" t="n">
        <f aca="false">IF($H144=3,1,0)</f>
        <v>1</v>
      </c>
      <c r="R144" s="14" t="n">
        <f aca="false">IF($L144="","",$L144-2018)</f>
        <v>0</v>
      </c>
      <c r="S144" s="14"/>
    </row>
    <row r="145" customFormat="false" ht="15" hidden="false" customHeight="false" outlineLevel="0" collapsed="false">
      <c r="A145" s="14" t="s">
        <v>368</v>
      </c>
      <c r="B145" s="14" t="s">
        <v>369</v>
      </c>
      <c r="C145" s="15" t="n">
        <v>18</v>
      </c>
      <c r="D145" s="14" t="n">
        <v>2023</v>
      </c>
      <c r="E145" s="16" t="n">
        <v>13065.0698305722</v>
      </c>
      <c r="F145" s="14" t="n">
        <v>2023</v>
      </c>
      <c r="G145" s="17" t="n">
        <f aca="false">LN(E145)</f>
        <v>9.47769752279862</v>
      </c>
      <c r="H145" s="14" t="n">
        <v>2</v>
      </c>
      <c r="I145" s="14" t="s">
        <v>90</v>
      </c>
      <c r="J145" s="14" t="n">
        <v>2023</v>
      </c>
      <c r="K145" s="18" t="n">
        <v>64.6</v>
      </c>
      <c r="L145" s="14" t="n">
        <v>2016</v>
      </c>
      <c r="M145" s="19" t="str">
        <f aca="false">IF(K145="","Missing","Observed")</f>
        <v>Observed</v>
      </c>
      <c r="N145" s="17" t="n">
        <f aca="false">LN(C145)</f>
        <v>2.89037175789616</v>
      </c>
      <c r="O145" s="14" t="n">
        <f aca="false">IF($H145=1,1,0)</f>
        <v>0</v>
      </c>
      <c r="P145" s="14" t="n">
        <f aca="false">IF($H145=2,1,0)</f>
        <v>1</v>
      </c>
      <c r="Q145" s="14" t="n">
        <f aca="false">IF($H145=3,1,0)</f>
        <v>0</v>
      </c>
      <c r="R145" s="14" t="n">
        <f aca="false">IF($L145="","",$L145-2018)</f>
        <v>-2</v>
      </c>
      <c r="S145" s="14"/>
    </row>
    <row r="146" customFormat="false" ht="15" hidden="false" customHeight="false" outlineLevel="0" collapsed="false">
      <c r="A146" s="14" t="s">
        <v>370</v>
      </c>
      <c r="B146" s="14" t="s">
        <v>371</v>
      </c>
      <c r="C146" s="15" t="n">
        <v>256</v>
      </c>
      <c r="D146" s="14" t="n">
        <v>2023</v>
      </c>
      <c r="E146" s="16" t="n">
        <v>2181.0791015625</v>
      </c>
      <c r="F146" s="14" t="n">
        <v>2023</v>
      </c>
      <c r="G146" s="17" t="n">
        <f aca="false">LN(E146)</f>
        <v>7.68757503402744</v>
      </c>
      <c r="H146" s="14" t="n">
        <v>0</v>
      </c>
      <c r="I146" s="14" t="s">
        <v>87</v>
      </c>
      <c r="J146" s="14" t="n">
        <v>2023</v>
      </c>
      <c r="K146" s="18" t="n">
        <v>12.77805417</v>
      </c>
      <c r="L146" s="14" t="n">
        <v>2014</v>
      </c>
      <c r="M146" s="19" t="str">
        <f aca="false">IF(K146="","Missing","Observed")</f>
        <v>Observed</v>
      </c>
      <c r="N146" s="17" t="n">
        <f aca="false">LN(C146)</f>
        <v>5.54517744447956</v>
      </c>
      <c r="O146" s="14" t="n">
        <f aca="false">IF($H146=1,1,0)</f>
        <v>0</v>
      </c>
      <c r="P146" s="14" t="n">
        <f aca="false">IF($H146=2,1,0)</f>
        <v>0</v>
      </c>
      <c r="Q146" s="14" t="n">
        <f aca="false">IF($H146=3,1,0)</f>
        <v>0</v>
      </c>
      <c r="R146" s="14" t="n">
        <f aca="false">IF($L146="","",$L146-2018)</f>
        <v>-4</v>
      </c>
      <c r="S146" s="14"/>
    </row>
    <row r="147" customFormat="false" ht="15" hidden="false" customHeight="false" outlineLevel="0" collapsed="false">
      <c r="A147" s="14" t="s">
        <v>372</v>
      </c>
      <c r="B147" s="14" t="s">
        <v>373</v>
      </c>
      <c r="C147" s="15" t="n">
        <v>84</v>
      </c>
      <c r="D147" s="14" t="n">
        <v>2023</v>
      </c>
      <c r="E147" s="16" t="n">
        <v>19020.8663751009</v>
      </c>
      <c r="F147" s="14" t="n">
        <v>2023</v>
      </c>
      <c r="G147" s="17" t="n">
        <f aca="false">LN(E147)</f>
        <v>9.85329188580335</v>
      </c>
      <c r="H147" s="14" t="n">
        <v>3</v>
      </c>
      <c r="I147" s="14" t="s">
        <v>102</v>
      </c>
      <c r="J147" s="14" t="n">
        <v>2023</v>
      </c>
      <c r="K147" s="18" t="n">
        <v>39.12159292</v>
      </c>
      <c r="L147" s="14" t="n">
        <v>2018</v>
      </c>
      <c r="M147" s="19" t="str">
        <f aca="false">IF(K147="","Missing","Observed")</f>
        <v>Observed</v>
      </c>
      <c r="N147" s="17" t="n">
        <f aca="false">LN(C147)</f>
        <v>4.43081679884331</v>
      </c>
      <c r="O147" s="14" t="n">
        <f aca="false">IF($H147=1,1,0)</f>
        <v>0</v>
      </c>
      <c r="P147" s="14" t="n">
        <f aca="false">IF($H147=2,1,0)</f>
        <v>0</v>
      </c>
      <c r="Q147" s="14" t="n">
        <f aca="false">IF($H147=3,1,0)</f>
        <v>1</v>
      </c>
      <c r="R147" s="14" t="n">
        <f aca="false">IF($L147="","",$L147-2018)</f>
        <v>0</v>
      </c>
      <c r="S147" s="14"/>
    </row>
    <row r="148" customFormat="false" ht="15" hidden="false" customHeight="false" outlineLevel="0" collapsed="false">
      <c r="A148" s="14" t="s">
        <v>374</v>
      </c>
      <c r="B148" s="14" t="s">
        <v>375</v>
      </c>
      <c r="C148" s="15" t="n">
        <v>4</v>
      </c>
      <c r="D148" s="14" t="n">
        <v>2023</v>
      </c>
      <c r="E148" s="16" t="n">
        <v>62122.5116950792</v>
      </c>
      <c r="F148" s="14" t="n">
        <v>2023</v>
      </c>
      <c r="G148" s="17" t="n">
        <f aca="false">LN(E148)</f>
        <v>11.0368637093989</v>
      </c>
      <c r="H148" s="14" t="n">
        <v>3</v>
      </c>
      <c r="I148" s="14" t="s">
        <v>102</v>
      </c>
      <c r="J148" s="14" t="n">
        <v>2023</v>
      </c>
      <c r="K148" s="18"/>
      <c r="L148" s="14"/>
      <c r="M148" s="19" t="str">
        <f aca="false">IF(K148="","Missing","Observed")</f>
        <v>Missing</v>
      </c>
      <c r="N148" s="17" t="n">
        <f aca="false">LN(C148)</f>
        <v>1.38629436111989</v>
      </c>
      <c r="O148" s="14" t="n">
        <f aca="false">IF($H148=1,1,0)</f>
        <v>0</v>
      </c>
      <c r="P148" s="14" t="n">
        <f aca="false">IF($H148=2,1,0)</f>
        <v>0</v>
      </c>
      <c r="Q148" s="14" t="n">
        <f aca="false">IF($H148=3,1,0)</f>
        <v>1</v>
      </c>
      <c r="R148" s="14" t="str">
        <f aca="false">IF($L148="","",$L148-2018)</f>
        <v/>
      </c>
      <c r="S148" s="14"/>
    </row>
    <row r="149" customFormat="false" ht="15" hidden="false" customHeight="false" outlineLevel="0" collapsed="false">
      <c r="A149" s="14" t="s">
        <v>376</v>
      </c>
      <c r="B149" s="14" t="s">
        <v>377</v>
      </c>
      <c r="C149" s="15" t="n">
        <v>5</v>
      </c>
      <c r="D149" s="14" t="n">
        <v>2023</v>
      </c>
      <c r="E149" s="16" t="n">
        <v>85383.3564504008</v>
      </c>
      <c r="F149" s="14" t="n">
        <v>2023</v>
      </c>
      <c r="G149" s="17" t="n">
        <f aca="false">LN(E149)</f>
        <v>11.3549064714437</v>
      </c>
      <c r="H149" s="14" t="n">
        <v>3</v>
      </c>
      <c r="I149" s="14" t="s">
        <v>102</v>
      </c>
      <c r="J149" s="14" t="n">
        <v>2023</v>
      </c>
      <c r="K149" s="18" t="n">
        <v>71.6</v>
      </c>
      <c r="L149" s="14" t="n">
        <v>2017</v>
      </c>
      <c r="M149" s="19" t="str">
        <f aca="false">IF(K149="","Missing","Observed")</f>
        <v>Observed</v>
      </c>
      <c r="N149" s="17" t="n">
        <f aca="false">LN(C149)</f>
        <v>1.6094379124341</v>
      </c>
      <c r="O149" s="14" t="n">
        <f aca="false">IF($H149=1,1,0)</f>
        <v>0</v>
      </c>
      <c r="P149" s="14" t="n">
        <f aca="false">IF($H149=2,1,0)</f>
        <v>0</v>
      </c>
      <c r="Q149" s="14" t="n">
        <f aca="false">IF($H149=3,1,0)</f>
        <v>1</v>
      </c>
      <c r="R149" s="14" t="n">
        <f aca="false">IF($L149="","",$L149-2018)</f>
        <v>-1</v>
      </c>
      <c r="S149" s="14"/>
    </row>
    <row r="150" customFormat="false" ht="15" hidden="false" customHeight="false" outlineLevel="0" collapsed="false">
      <c r="A150" s="14" t="s">
        <v>378</v>
      </c>
      <c r="B150" s="14" t="s">
        <v>379</v>
      </c>
      <c r="C150" s="15" t="n">
        <v>20</v>
      </c>
      <c r="D150" s="14" t="n">
        <v>2023</v>
      </c>
      <c r="E150" s="16" t="n">
        <v>4579.43973633341</v>
      </c>
      <c r="F150" s="14" t="n">
        <v>2022</v>
      </c>
      <c r="G150" s="17" t="n">
        <f aca="false">LN(E150)</f>
        <v>8.42933194131403</v>
      </c>
      <c r="H150" s="14" t="n">
        <v>0</v>
      </c>
      <c r="I150" s="14" t="s">
        <v>87</v>
      </c>
      <c r="J150" s="14" t="n">
        <v>2023</v>
      </c>
      <c r="K150" s="18"/>
      <c r="L150" s="14"/>
      <c r="M150" s="19" t="str">
        <f aca="false">IF(K150="","Missing","Observed")</f>
        <v>Missing</v>
      </c>
      <c r="N150" s="17" t="n">
        <f aca="false">LN(C150)</f>
        <v>2.99573227355399</v>
      </c>
      <c r="O150" s="14" t="n">
        <f aca="false">IF($H150=1,1,0)</f>
        <v>0</v>
      </c>
      <c r="P150" s="14" t="n">
        <f aca="false">IF($H150=2,1,0)</f>
        <v>0</v>
      </c>
      <c r="Q150" s="14" t="n">
        <f aca="false">IF($H150=3,1,0)</f>
        <v>0</v>
      </c>
      <c r="R150" s="14" t="str">
        <f aca="false">IF($L150="","",$L150-2018)</f>
        <v/>
      </c>
      <c r="S150" s="14"/>
    </row>
    <row r="151" customFormat="false" ht="15" hidden="false" customHeight="false" outlineLevel="0" collapsed="false">
      <c r="A151" s="14" t="s">
        <v>380</v>
      </c>
      <c r="B151" s="14" t="s">
        <v>381</v>
      </c>
      <c r="C151" s="15" t="n">
        <v>14</v>
      </c>
      <c r="D151" s="14" t="n">
        <v>2023</v>
      </c>
      <c r="E151" s="16" t="n">
        <v>4472.3241378777</v>
      </c>
      <c r="F151" s="14" t="n">
        <v>2023</v>
      </c>
      <c r="G151" s="17" t="n">
        <f aca="false">LN(E151)</f>
        <v>8.40566349384461</v>
      </c>
      <c r="H151" s="14" t="n">
        <v>1</v>
      </c>
      <c r="I151" s="14" t="s">
        <v>93</v>
      </c>
      <c r="J151" s="14" t="n">
        <v>2023</v>
      </c>
      <c r="K151" s="18" t="n">
        <v>29.3</v>
      </c>
      <c r="L151" s="14" t="n">
        <v>2017</v>
      </c>
      <c r="M151" s="19" t="str">
        <f aca="false">IF(K151="","Missing","Observed")</f>
        <v>Observed</v>
      </c>
      <c r="N151" s="17" t="n">
        <f aca="false">LN(C151)</f>
        <v>2.63905732961526</v>
      </c>
      <c r="O151" s="14" t="n">
        <f aca="false">IF($H151=1,1,0)</f>
        <v>1</v>
      </c>
      <c r="P151" s="14" t="n">
        <f aca="false">IF($H151=2,1,0)</f>
        <v>0</v>
      </c>
      <c r="Q151" s="14" t="n">
        <f aca="false">IF($H151=3,1,0)</f>
        <v>0</v>
      </c>
      <c r="R151" s="14" t="n">
        <f aca="false">IF($L151="","",$L151-2018)</f>
        <v>-1</v>
      </c>
      <c r="S151" s="14"/>
    </row>
    <row r="152" customFormat="false" ht="15" hidden="false" customHeight="false" outlineLevel="0" collapsed="false">
      <c r="A152" s="14" t="s">
        <v>382</v>
      </c>
      <c r="B152" s="14" t="s">
        <v>383</v>
      </c>
      <c r="C152" s="15" t="n">
        <v>276</v>
      </c>
      <c r="D152" s="14" t="n">
        <v>2023</v>
      </c>
      <c r="E152" s="16" t="n">
        <v>3620.79345703125</v>
      </c>
      <c r="F152" s="14" t="n">
        <v>2023</v>
      </c>
      <c r="G152" s="17" t="n">
        <f aca="false">LN(E152)</f>
        <v>8.19444846782706</v>
      </c>
      <c r="H152" s="14" t="n">
        <v>1</v>
      </c>
      <c r="I152" s="14" t="s">
        <v>93</v>
      </c>
      <c r="J152" s="14" t="n">
        <v>2023</v>
      </c>
      <c r="K152" s="18" t="n">
        <v>37.6</v>
      </c>
      <c r="L152" s="14" t="n">
        <v>2022</v>
      </c>
      <c r="M152" s="19" t="str">
        <f aca="false">IF(K152="","Missing","Observed")</f>
        <v>Observed</v>
      </c>
      <c r="N152" s="17" t="n">
        <f aca="false">LN(C152)</f>
        <v>5.62040086571715</v>
      </c>
      <c r="O152" s="14" t="n">
        <f aca="false">IF($H152=1,1,0)</f>
        <v>1</v>
      </c>
      <c r="P152" s="14" t="n">
        <f aca="false">IF($H152=2,1,0)</f>
        <v>0</v>
      </c>
      <c r="Q152" s="14" t="n">
        <f aca="false">IF($H152=3,1,0)</f>
        <v>0</v>
      </c>
      <c r="R152" s="14" t="n">
        <f aca="false">IF($L152="","",$L152-2018)</f>
        <v>4</v>
      </c>
      <c r="S152" s="14"/>
    </row>
    <row r="153" customFormat="false" ht="15" hidden="false" customHeight="false" outlineLevel="0" collapsed="false">
      <c r="A153" s="14" t="s">
        <v>384</v>
      </c>
      <c r="B153" s="14" t="s">
        <v>385</v>
      </c>
      <c r="C153" s="15" t="n">
        <v>34</v>
      </c>
      <c r="D153" s="14" t="n">
        <v>2023</v>
      </c>
      <c r="E153" s="16" t="n">
        <v>21245.2706771879</v>
      </c>
      <c r="F153" s="14" t="n">
        <v>2023</v>
      </c>
      <c r="G153" s="17" t="n">
        <f aca="false">LN(E153)</f>
        <v>9.96388959321559</v>
      </c>
      <c r="H153" s="14" t="n">
        <v>1</v>
      </c>
      <c r="I153" s="14" t="s">
        <v>93</v>
      </c>
      <c r="J153" s="14" t="n">
        <v>2023</v>
      </c>
      <c r="K153" s="18" t="n">
        <v>72.8</v>
      </c>
      <c r="L153" s="14" t="n">
        <v>2022</v>
      </c>
      <c r="M153" s="19" t="str">
        <f aca="false">IF(K153="","Missing","Observed")</f>
        <v>Observed</v>
      </c>
      <c r="N153" s="17" t="n">
        <f aca="false">LN(C153)</f>
        <v>3.52636052461616</v>
      </c>
      <c r="O153" s="14" t="n">
        <f aca="false">IF($H153=1,1,0)</f>
        <v>1</v>
      </c>
      <c r="P153" s="14" t="n">
        <f aca="false">IF($H153=2,1,0)</f>
        <v>0</v>
      </c>
      <c r="Q153" s="14" t="n">
        <f aca="false">IF($H153=3,1,0)</f>
        <v>0</v>
      </c>
      <c r="R153" s="14" t="n">
        <f aca="false">IF($L153="","",$L153-2018)</f>
        <v>4</v>
      </c>
      <c r="S153" s="14"/>
    </row>
    <row r="154" customFormat="false" ht="15" hidden="false" customHeight="false" outlineLevel="0" collapsed="false">
      <c r="A154" s="14" t="s">
        <v>386</v>
      </c>
      <c r="B154" s="14" t="s">
        <v>387</v>
      </c>
      <c r="C154" s="15" t="n">
        <v>192</v>
      </c>
      <c r="D154" s="14" t="n">
        <v>2023</v>
      </c>
      <c r="E154" s="16" t="n">
        <v>4331.07792560386</v>
      </c>
      <c r="F154" s="14" t="n">
        <v>2023</v>
      </c>
      <c r="G154" s="17" t="n">
        <f aca="false">LN(E154)</f>
        <v>8.3735717335727</v>
      </c>
      <c r="H154" s="14" t="n">
        <v>2</v>
      </c>
      <c r="I154" s="14" t="s">
        <v>90</v>
      </c>
      <c r="J154" s="14" t="n">
        <v>2023</v>
      </c>
      <c r="K154" s="18" t="n">
        <v>26</v>
      </c>
      <c r="L154" s="14" t="n">
        <v>2016</v>
      </c>
      <c r="M154" s="19" t="str">
        <f aca="false">IF(K154="","Missing","Observed")</f>
        <v>Observed</v>
      </c>
      <c r="N154" s="17" t="n">
        <f aca="false">LN(C154)</f>
        <v>5.25749537202778</v>
      </c>
      <c r="O154" s="14" t="n">
        <f aca="false">IF($H154=1,1,0)</f>
        <v>0</v>
      </c>
      <c r="P154" s="14" t="n">
        <f aca="false">IF($H154=2,1,0)</f>
        <v>1</v>
      </c>
      <c r="Q154" s="14" t="n">
        <f aca="false">IF($H154=3,1,0)</f>
        <v>0</v>
      </c>
      <c r="R154" s="14" t="n">
        <f aca="false">IF($L154="","",$L154-2018)</f>
        <v>-2</v>
      </c>
      <c r="S154" s="14"/>
    </row>
    <row r="155" customFormat="false" ht="15" hidden="false" customHeight="false" outlineLevel="0" collapsed="false">
      <c r="A155" s="14" t="s">
        <v>388</v>
      </c>
      <c r="B155" s="14" t="s">
        <v>389</v>
      </c>
      <c r="C155" s="15" t="n">
        <v>349</v>
      </c>
      <c r="D155" s="14" t="n">
        <v>2023</v>
      </c>
      <c r="E155" s="16" t="n">
        <v>3215.82300022488</v>
      </c>
      <c r="F155" s="14" t="n">
        <v>2023</v>
      </c>
      <c r="G155" s="17" t="n">
        <f aca="false">LN(E155)</f>
        <v>8.07583859154074</v>
      </c>
      <c r="H155" s="14" t="n">
        <v>1</v>
      </c>
      <c r="I155" s="14" t="s">
        <v>93</v>
      </c>
      <c r="J155" s="14" t="n">
        <v>2023</v>
      </c>
      <c r="K155" s="18" t="n">
        <v>23.8</v>
      </c>
      <c r="L155" s="14" t="n">
        <v>2017</v>
      </c>
      <c r="M155" s="19" t="str">
        <f aca="false">IF(K155="","Missing","Observed")</f>
        <v>Observed</v>
      </c>
      <c r="N155" s="17" t="n">
        <f aca="false">LN(C155)</f>
        <v>5.85507192220243</v>
      </c>
      <c r="O155" s="14" t="n">
        <f aca="false">IF($H155=1,1,0)</f>
        <v>1</v>
      </c>
      <c r="P155" s="14" t="n">
        <f aca="false">IF($H155=2,1,0)</f>
        <v>0</v>
      </c>
      <c r="Q155" s="14" t="n">
        <f aca="false">IF($H155=3,1,0)</f>
        <v>0</v>
      </c>
      <c r="R155" s="14" t="n">
        <f aca="false">IF($L155="","",$L155-2018)</f>
        <v>-1</v>
      </c>
      <c r="S155" s="14"/>
    </row>
    <row r="156" customFormat="false" ht="15" hidden="false" customHeight="false" outlineLevel="0" collapsed="false">
      <c r="A156" s="14" t="s">
        <v>390</v>
      </c>
      <c r="B156" s="14" t="s">
        <v>391</v>
      </c>
      <c r="C156" s="15" t="n">
        <v>54</v>
      </c>
      <c r="D156" s="14" t="n">
        <v>2023</v>
      </c>
      <c r="E156" s="16" t="n">
        <v>31196.603554718</v>
      </c>
      <c r="F156" s="14" t="n">
        <v>2023</v>
      </c>
      <c r="G156" s="17" t="n">
        <f aca="false">LN(E156)</f>
        <v>10.3480645074461</v>
      </c>
      <c r="H156" s="14" t="n">
        <v>3</v>
      </c>
      <c r="I156" s="14" t="s">
        <v>102</v>
      </c>
      <c r="J156" s="14" t="n">
        <v>2023</v>
      </c>
      <c r="K156" s="18" t="n">
        <v>36.5</v>
      </c>
      <c r="L156" s="14" t="n">
        <v>2022</v>
      </c>
      <c r="M156" s="19" t="str">
        <f aca="false">IF(K156="","Missing","Observed")</f>
        <v>Observed</v>
      </c>
      <c r="N156" s="17" t="n">
        <f aca="false">LN(C156)</f>
        <v>3.98898404656427</v>
      </c>
      <c r="O156" s="14" t="n">
        <f aca="false">IF($H156=1,1,0)</f>
        <v>0</v>
      </c>
      <c r="P156" s="14" t="n">
        <f aca="false">IF($H156=2,1,0)</f>
        <v>0</v>
      </c>
      <c r="Q156" s="14" t="n">
        <f aca="false">IF($H156=3,1,0)</f>
        <v>1</v>
      </c>
      <c r="R156" s="14" t="n">
        <f aca="false">IF($L156="","",$L156-2018)</f>
        <v>4</v>
      </c>
      <c r="S156" s="14"/>
    </row>
    <row r="157" customFormat="false" ht="15" hidden="false" customHeight="false" outlineLevel="0" collapsed="false">
      <c r="A157" s="14" t="s">
        <v>392</v>
      </c>
      <c r="B157" s="14" t="s">
        <v>393</v>
      </c>
      <c r="C157" s="15" t="n">
        <v>36</v>
      </c>
      <c r="D157" s="14" t="n">
        <v>2023</v>
      </c>
      <c r="E157" s="16" t="n">
        <v>12650.9615158166</v>
      </c>
      <c r="F157" s="14" t="n">
        <v>2023</v>
      </c>
      <c r="G157" s="17" t="n">
        <f aca="false">LN(E157)</f>
        <v>9.44548850042258</v>
      </c>
      <c r="H157" s="14" t="n">
        <v>1</v>
      </c>
      <c r="I157" s="14" t="s">
        <v>93</v>
      </c>
      <c r="J157" s="14" t="n">
        <v>2023</v>
      </c>
      <c r="K157" s="18" t="n">
        <v>54</v>
      </c>
      <c r="L157" s="14" t="n">
        <v>2023</v>
      </c>
      <c r="M157" s="19" t="str">
        <f aca="false">IF(K157="","Missing","Observed")</f>
        <v>Observed</v>
      </c>
      <c r="N157" s="17" t="n">
        <f aca="false">LN(C157)</f>
        <v>3.58351893845611</v>
      </c>
      <c r="O157" s="14" t="n">
        <f aca="false">IF($H157=1,1,0)</f>
        <v>1</v>
      </c>
      <c r="P157" s="14" t="n">
        <f aca="false">IF($H157=2,1,0)</f>
        <v>0</v>
      </c>
      <c r="Q157" s="14" t="n">
        <f aca="false">IF($H157=3,1,0)</f>
        <v>0</v>
      </c>
      <c r="R157" s="14" t="n">
        <f aca="false">IF($L157="","",$L157-2018)</f>
        <v>5</v>
      </c>
      <c r="S157" s="14"/>
    </row>
    <row r="158" customFormat="false" ht="15" hidden="false" customHeight="false" outlineLevel="0" collapsed="false">
      <c r="A158" s="14" t="s">
        <v>394</v>
      </c>
      <c r="B158" s="14" t="s">
        <v>395</v>
      </c>
      <c r="C158" s="15" t="n">
        <v>15</v>
      </c>
      <c r="D158" s="14" t="n">
        <v>2023</v>
      </c>
      <c r="E158" s="16" t="n">
        <v>35069.1701714685</v>
      </c>
      <c r="F158" s="14" t="n">
        <v>2023</v>
      </c>
      <c r="G158" s="17" t="n">
        <f aca="false">LN(E158)</f>
        <v>10.4650776807918</v>
      </c>
      <c r="H158" s="14" t="n">
        <v>1</v>
      </c>
      <c r="I158" s="14" t="s">
        <v>93</v>
      </c>
      <c r="J158" s="14" t="n">
        <v>2023</v>
      </c>
      <c r="K158" s="18" t="n">
        <v>69.8</v>
      </c>
      <c r="L158" s="14" t="n">
        <v>2018</v>
      </c>
      <c r="M158" s="19" t="str">
        <f aca="false">IF(K158="","Missing","Observed")</f>
        <v>Observed</v>
      </c>
      <c r="N158" s="17" t="n">
        <f aca="false">LN(C158)</f>
        <v>2.70805020110221</v>
      </c>
      <c r="O158" s="14" t="n">
        <f aca="false">IF($H158=1,1,0)</f>
        <v>1</v>
      </c>
      <c r="P158" s="14" t="n">
        <f aca="false">IF($H158=2,1,0)</f>
        <v>0</v>
      </c>
      <c r="Q158" s="14" t="n">
        <f aca="false">IF($H158=3,1,0)</f>
        <v>0</v>
      </c>
      <c r="R158" s="14" t="n">
        <f aca="false">IF($L158="","",$L158-2018)</f>
        <v>0</v>
      </c>
      <c r="S158" s="14"/>
    </row>
    <row r="159" customFormat="false" ht="15" hidden="false" customHeight="false" outlineLevel="0" collapsed="false">
      <c r="A159" s="14" t="s">
        <v>396</v>
      </c>
      <c r="B159" s="14" t="s">
        <v>397</v>
      </c>
      <c r="C159" s="15" t="n">
        <v>5</v>
      </c>
      <c r="D159" s="14" t="n">
        <v>2023</v>
      </c>
      <c r="E159" s="16" t="n">
        <v>17685.8585929282</v>
      </c>
      <c r="F159" s="14" t="n">
        <v>2023</v>
      </c>
      <c r="G159" s="17" t="n">
        <f aca="false">LN(E159)</f>
        <v>9.78052064967955</v>
      </c>
      <c r="H159" s="14" t="n">
        <v>0</v>
      </c>
      <c r="I159" s="14" t="s">
        <v>87</v>
      </c>
      <c r="J159" s="14" t="n">
        <v>2023</v>
      </c>
      <c r="K159" s="18" t="n">
        <v>49.6763641281299</v>
      </c>
      <c r="L159" s="14" t="n">
        <v>2019</v>
      </c>
      <c r="M159" s="19" t="str">
        <f aca="false">IF(K159="","Missing","Observed")</f>
        <v>Observed</v>
      </c>
      <c r="N159" s="17" t="n">
        <f aca="false">LN(C159)</f>
        <v>1.6094379124341</v>
      </c>
      <c r="O159" s="14" t="n">
        <f aca="false">IF($H159=1,1,0)</f>
        <v>0</v>
      </c>
      <c r="P159" s="14" t="n">
        <f aca="false">IF($H159=2,1,0)</f>
        <v>0</v>
      </c>
      <c r="Q159" s="14" t="n">
        <f aca="false">IF($H159=3,1,0)</f>
        <v>0</v>
      </c>
      <c r="R159" s="14" t="n">
        <f aca="false">IF($L159="","",$L159-2018)</f>
        <v>1</v>
      </c>
      <c r="S159" s="14"/>
    </row>
    <row r="160" customFormat="false" ht="15" hidden="false" customHeight="false" outlineLevel="0" collapsed="false">
      <c r="A160" s="14" t="s">
        <v>398</v>
      </c>
      <c r="B160" s="14" t="s">
        <v>399</v>
      </c>
      <c r="C160" s="15" t="n">
        <v>170</v>
      </c>
      <c r="D160" s="14" t="n">
        <v>2023</v>
      </c>
      <c r="E160" s="16" t="n">
        <v>2791.05576885861</v>
      </c>
      <c r="F160" s="14" t="n">
        <v>2023</v>
      </c>
      <c r="G160" s="17" t="n">
        <f aca="false">LN(E160)</f>
        <v>7.93417521501301</v>
      </c>
      <c r="H160" s="14" t="n">
        <v>1</v>
      </c>
      <c r="I160" s="14" t="s">
        <v>93</v>
      </c>
      <c r="J160" s="14" t="n">
        <v>2023</v>
      </c>
      <c r="K160" s="18" t="n">
        <v>43</v>
      </c>
      <c r="L160" s="14" t="n">
        <v>2022</v>
      </c>
      <c r="M160" s="19" t="str">
        <f aca="false">IF(K160="","Missing","Observed")</f>
        <v>Observed</v>
      </c>
      <c r="N160" s="17" t="n">
        <f aca="false">LN(C160)</f>
        <v>5.13579843705026</v>
      </c>
      <c r="O160" s="14" t="n">
        <f aca="false">IF($H160=1,1,0)</f>
        <v>1</v>
      </c>
      <c r="P160" s="14" t="n">
        <f aca="false">IF($H160=2,1,0)</f>
        <v>0</v>
      </c>
      <c r="Q160" s="14" t="n">
        <f aca="false">IF($H160=3,1,0)</f>
        <v>0</v>
      </c>
      <c r="R160" s="14" t="n">
        <f aca="false">IF($L160="","",$L160-2018)</f>
        <v>4</v>
      </c>
      <c r="S160" s="14"/>
    </row>
    <row r="161" customFormat="false" ht="15" hidden="false" customHeight="false" outlineLevel="0" collapsed="false">
      <c r="A161" s="14" t="s">
        <v>400</v>
      </c>
      <c r="B161" s="14" t="s">
        <v>401</v>
      </c>
      <c r="C161" s="15" t="n">
        <v>15</v>
      </c>
      <c r="D161" s="14" t="n">
        <v>2023</v>
      </c>
      <c r="E161" s="16" t="n">
        <v>15916.9580078125</v>
      </c>
      <c r="F161" s="14" t="n">
        <v>2023</v>
      </c>
      <c r="G161" s="17" t="n">
        <f aca="false">LN(E161)</f>
        <v>9.67514036122901</v>
      </c>
      <c r="H161" s="14" t="n">
        <v>1</v>
      </c>
      <c r="I161" s="14" t="s">
        <v>93</v>
      </c>
      <c r="J161" s="14" t="n">
        <v>2023</v>
      </c>
      <c r="K161" s="18" t="n">
        <v>65.4588684</v>
      </c>
      <c r="L161" s="14" t="n">
        <v>2012</v>
      </c>
      <c r="M161" s="19" t="str">
        <f aca="false">IF(K161="","Missing","Observed")</f>
        <v>Observed</v>
      </c>
      <c r="N161" s="17" t="n">
        <f aca="false">LN(C161)</f>
        <v>2.70805020110221</v>
      </c>
      <c r="O161" s="14" t="n">
        <f aca="false">IF($H161=1,1,0)</f>
        <v>1</v>
      </c>
      <c r="P161" s="14" t="n">
        <f aca="false">IF($H161=2,1,0)</f>
        <v>0</v>
      </c>
      <c r="Q161" s="14" t="n">
        <f aca="false">IF($H161=3,1,0)</f>
        <v>0</v>
      </c>
      <c r="R161" s="14" t="n">
        <f aca="false">IF($L161="","",$L161-2018)</f>
        <v>-6</v>
      </c>
      <c r="S161" s="14"/>
    </row>
    <row r="162" customFormat="false" ht="15" hidden="false" customHeight="false" outlineLevel="0" collapsed="false">
      <c r="A162" s="14" t="s">
        <v>402</v>
      </c>
      <c r="B162" s="14" t="s">
        <v>403</v>
      </c>
      <c r="C162" s="15" t="n">
        <v>3</v>
      </c>
      <c r="D162" s="14" t="n">
        <v>2023</v>
      </c>
      <c r="E162" s="16" t="n">
        <v>70239.8328337228</v>
      </c>
      <c r="F162" s="14" t="n">
        <v>2023</v>
      </c>
      <c r="G162" s="17" t="n">
        <f aca="false">LN(E162)</f>
        <v>11.1596708483763</v>
      </c>
      <c r="H162" s="14" t="n">
        <v>0</v>
      </c>
      <c r="I162" s="14" t="s">
        <v>87</v>
      </c>
      <c r="J162" s="14" t="n">
        <v>2023</v>
      </c>
      <c r="K162" s="18"/>
      <c r="L162" s="14"/>
      <c r="M162" s="19" t="str">
        <f aca="false">IF(K162="","Missing","Observed")</f>
        <v>Missing</v>
      </c>
      <c r="N162" s="17" t="n">
        <f aca="false">LN(C162)</f>
        <v>1.09861228866811</v>
      </c>
      <c r="O162" s="14" t="n">
        <f aca="false">IF($H162=1,1,0)</f>
        <v>0</v>
      </c>
      <c r="P162" s="14" t="n">
        <f aca="false">IF($H162=2,1,0)</f>
        <v>0</v>
      </c>
      <c r="Q162" s="14" t="n">
        <f aca="false">IF($H162=3,1,0)</f>
        <v>0</v>
      </c>
      <c r="R162" s="14" t="str">
        <f aca="false">IF($L162="","",$L162-2018)</f>
        <v/>
      </c>
      <c r="S162" s="14"/>
    </row>
    <row r="163" customFormat="false" ht="15" hidden="false" customHeight="false" outlineLevel="0" collapsed="false">
      <c r="A163" s="14" t="s">
        <v>404</v>
      </c>
      <c r="B163" s="14" t="s">
        <v>405</v>
      </c>
      <c r="C163" s="15" t="n">
        <v>8</v>
      </c>
      <c r="D163" s="14" t="n">
        <v>2023</v>
      </c>
      <c r="E163" s="16" t="n">
        <v>53423.4226338292</v>
      </c>
      <c r="F163" s="14" t="n">
        <v>2023</v>
      </c>
      <c r="G163" s="17" t="n">
        <f aca="false">LN(E163)</f>
        <v>10.8860045548816</v>
      </c>
      <c r="H163" s="14" t="n">
        <v>3</v>
      </c>
      <c r="I163" s="14" t="s">
        <v>102</v>
      </c>
      <c r="J163" s="14" t="n">
        <v>2023</v>
      </c>
      <c r="K163" s="18" t="n">
        <v>76.1</v>
      </c>
      <c r="L163" s="14" t="n">
        <v>2012</v>
      </c>
      <c r="M163" s="19" t="str">
        <f aca="false">IF(K163="","Missing","Observed")</f>
        <v>Observed</v>
      </c>
      <c r="N163" s="17" t="n">
        <f aca="false">LN(C163)</f>
        <v>2.07944154167984</v>
      </c>
      <c r="O163" s="14" t="n">
        <f aca="false">IF($H163=1,1,0)</f>
        <v>0</v>
      </c>
      <c r="P163" s="14" t="n">
        <f aca="false">IF($H163=2,1,0)</f>
        <v>0</v>
      </c>
      <c r="Q163" s="14" t="n">
        <f aca="false">IF($H163=3,1,0)</f>
        <v>1</v>
      </c>
      <c r="R163" s="14" t="n">
        <f aca="false">IF($L163="","",$L163-2018)</f>
        <v>-6</v>
      </c>
      <c r="S163" s="14"/>
    </row>
    <row r="164" customFormat="false" ht="15" hidden="false" customHeight="false" outlineLevel="0" collapsed="false">
      <c r="A164" s="14" t="s">
        <v>406</v>
      </c>
      <c r="B164" s="14" t="s">
        <v>407</v>
      </c>
      <c r="C164" s="15" t="n">
        <v>17</v>
      </c>
      <c r="D164" s="14" t="n">
        <v>2023</v>
      </c>
      <c r="E164" s="16" t="n">
        <v>74351.6718197429</v>
      </c>
      <c r="F164" s="14" t="n">
        <v>2023</v>
      </c>
      <c r="G164" s="17" t="n">
        <f aca="false">LN(E164)</f>
        <v>11.2165614374424</v>
      </c>
      <c r="H164" s="14" t="n">
        <v>3</v>
      </c>
      <c r="I164" s="14" t="s">
        <v>102</v>
      </c>
      <c r="J164" s="14" t="n">
        <v>2023</v>
      </c>
      <c r="K164" s="18" t="n">
        <v>73.9</v>
      </c>
      <c r="L164" s="14" t="n">
        <v>2019</v>
      </c>
      <c r="M164" s="19" t="str">
        <f aca="false">IF(K164="","Missing","Observed")</f>
        <v>Observed</v>
      </c>
      <c r="N164" s="17" t="n">
        <f aca="false">LN(C164)</f>
        <v>2.83321334405622</v>
      </c>
      <c r="O164" s="14" t="n">
        <f aca="false">IF($H164=1,1,0)</f>
        <v>0</v>
      </c>
      <c r="P164" s="14" t="n">
        <f aca="false">IF($H164=2,1,0)</f>
        <v>0</v>
      </c>
      <c r="Q164" s="14" t="n">
        <f aca="false">IF($H164=3,1,0)</f>
        <v>1</v>
      </c>
      <c r="R164" s="14" t="n">
        <f aca="false">IF($L164="","",$L164-2018)</f>
        <v>1</v>
      </c>
      <c r="S164" s="14"/>
    </row>
    <row r="165" customFormat="false" ht="15" hidden="false" customHeight="false" outlineLevel="0" collapsed="false">
      <c r="A165" s="14" t="s">
        <v>408</v>
      </c>
      <c r="B165" s="14" t="s">
        <v>409</v>
      </c>
      <c r="C165" s="15" t="n">
        <v>15</v>
      </c>
      <c r="D165" s="14" t="n">
        <v>2023</v>
      </c>
      <c r="E165" s="16" t="n">
        <v>31100.9696889882</v>
      </c>
      <c r="F165" s="14" t="n">
        <v>2023</v>
      </c>
      <c r="G165" s="17" t="n">
        <f aca="false">LN(E165)</f>
        <v>10.3449942773915</v>
      </c>
      <c r="H165" s="14" t="n">
        <v>3</v>
      </c>
      <c r="I165" s="14" t="s">
        <v>102</v>
      </c>
      <c r="J165" s="14" t="n">
        <v>2023</v>
      </c>
      <c r="K165" s="18"/>
      <c r="L165" s="14"/>
      <c r="M165" s="19" t="str">
        <f aca="false">IF(K165="","Missing","Observed")</f>
        <v>Missing</v>
      </c>
      <c r="N165" s="17" t="n">
        <f aca="false">LN(C165)</f>
        <v>2.70805020110221</v>
      </c>
      <c r="O165" s="14" t="n">
        <f aca="false">IF($H165=1,1,0)</f>
        <v>0</v>
      </c>
      <c r="P165" s="14" t="n">
        <f aca="false">IF($H165=2,1,0)</f>
        <v>0</v>
      </c>
      <c r="Q165" s="14" t="n">
        <f aca="false">IF($H165=3,1,0)</f>
        <v>1</v>
      </c>
      <c r="R165" s="14" t="str">
        <f aca="false">IF($L165="","",$L165-2018)</f>
        <v/>
      </c>
      <c r="S165" s="14"/>
    </row>
    <row r="166" customFormat="false" ht="15" hidden="false" customHeight="false" outlineLevel="0" collapsed="false">
      <c r="A166" s="14" t="s">
        <v>410</v>
      </c>
      <c r="B166" s="14" t="s">
        <v>411</v>
      </c>
      <c r="C166" s="15" t="n">
        <v>26</v>
      </c>
      <c r="D166" s="14" t="n">
        <v>2023</v>
      </c>
      <c r="E166" s="16" t="n">
        <v>10514.0955721447</v>
      </c>
      <c r="F166" s="14" t="n">
        <v>2023</v>
      </c>
      <c r="G166" s="17" t="n">
        <f aca="false">LN(E166)</f>
        <v>9.26047207132711</v>
      </c>
      <c r="H166" s="14" t="n">
        <v>0</v>
      </c>
      <c r="I166" s="14" t="s">
        <v>87</v>
      </c>
      <c r="J166" s="14" t="n">
        <v>2023</v>
      </c>
      <c r="K166" s="18" t="n">
        <v>58.8</v>
      </c>
      <c r="L166" s="14" t="n">
        <v>2022</v>
      </c>
      <c r="M166" s="19" t="str">
        <f aca="false">IF(K166="","Missing","Observed")</f>
        <v>Observed</v>
      </c>
      <c r="N166" s="17" t="n">
        <f aca="false">LN(C166)</f>
        <v>3.25809653802148</v>
      </c>
      <c r="O166" s="14" t="n">
        <f aca="false">IF($H166=1,1,0)</f>
        <v>0</v>
      </c>
      <c r="P166" s="14" t="n">
        <f aca="false">IF($H166=2,1,0)</f>
        <v>0</v>
      </c>
      <c r="Q166" s="14" t="n">
        <f aca="false">IF($H166=3,1,0)</f>
        <v>0</v>
      </c>
      <c r="R166" s="14" t="n">
        <f aca="false">IF($L166="","",$L166-2018)</f>
        <v>4</v>
      </c>
      <c r="S166" s="14"/>
    </row>
    <row r="167" customFormat="false" ht="15" hidden="false" customHeight="false" outlineLevel="0" collapsed="false">
      <c r="A167" s="14" t="s">
        <v>412</v>
      </c>
      <c r="B167" s="14" t="s">
        <v>413</v>
      </c>
      <c r="C167" s="15" t="n">
        <v>100</v>
      </c>
      <c r="D167" s="14" t="n">
        <v>2023</v>
      </c>
      <c r="E167" s="16" t="n">
        <v>3782.82649029418</v>
      </c>
      <c r="F167" s="14" t="n">
        <v>2023</v>
      </c>
      <c r="G167" s="17" t="n">
        <f aca="false">LN(E167)</f>
        <v>8.23822675794389</v>
      </c>
      <c r="H167" s="14" t="n">
        <v>2</v>
      </c>
      <c r="I167" s="14" t="s">
        <v>90</v>
      </c>
      <c r="J167" s="14" t="n">
        <v>2023</v>
      </c>
      <c r="K167" s="18" t="n">
        <v>49</v>
      </c>
      <c r="L167" s="14" t="n">
        <v>2013</v>
      </c>
      <c r="M167" s="19" t="str">
        <f aca="false">IF(K167="","Missing","Observed")</f>
        <v>Observed</v>
      </c>
      <c r="N167" s="17" t="n">
        <f aca="false">LN(C167)</f>
        <v>4.60517018598809</v>
      </c>
      <c r="O167" s="14" t="n">
        <f aca="false">IF($H167=1,1,0)</f>
        <v>0</v>
      </c>
      <c r="P167" s="14" t="n">
        <f aca="false">IF($H167=2,1,0)</f>
        <v>1</v>
      </c>
      <c r="Q167" s="14" t="n">
        <f aca="false">IF($H167=3,1,0)</f>
        <v>0</v>
      </c>
      <c r="R167" s="14" t="n">
        <f aca="false">IF($L167="","",$L167-2018)</f>
        <v>-5</v>
      </c>
      <c r="S167" s="14"/>
    </row>
    <row r="168" customFormat="false" ht="15" hidden="false" customHeight="false" outlineLevel="0" collapsed="false">
      <c r="A168" s="14" t="s">
        <v>414</v>
      </c>
      <c r="B168" s="14" t="s">
        <v>415</v>
      </c>
      <c r="C168" s="15" t="n">
        <v>48</v>
      </c>
      <c r="D168" s="14" t="n">
        <v>2023</v>
      </c>
      <c r="E168" s="16" t="n">
        <v>13534.7997843016</v>
      </c>
      <c r="F168" s="14" t="n">
        <v>2023</v>
      </c>
      <c r="G168" s="17" t="n">
        <f aca="false">LN(E168)</f>
        <v>9.51301940949729</v>
      </c>
      <c r="H168" s="14" t="n">
        <v>0</v>
      </c>
      <c r="I168" s="14" t="s">
        <v>87</v>
      </c>
      <c r="J168" s="14" t="n">
        <v>2023</v>
      </c>
      <c r="K168" s="18" t="n">
        <v>72.8</v>
      </c>
      <c r="L168" s="14" t="n">
        <v>2021</v>
      </c>
      <c r="M168" s="19" t="str">
        <f aca="false">IF(K168="","Missing","Observed")</f>
        <v>Observed</v>
      </c>
      <c r="N168" s="17" t="n">
        <f aca="false">LN(C168)</f>
        <v>3.87120101090789</v>
      </c>
      <c r="O168" s="14" t="n">
        <f aca="false">IF($H168=1,1,0)</f>
        <v>0</v>
      </c>
      <c r="P168" s="14" t="n">
        <f aca="false">IF($H168=2,1,0)</f>
        <v>0</v>
      </c>
      <c r="Q168" s="14" t="n">
        <f aca="false">IF($H168=3,1,0)</f>
        <v>0</v>
      </c>
      <c r="R168" s="14" t="n">
        <f aca="false">IF($L168="","",$L168-2018)</f>
        <v>3</v>
      </c>
      <c r="S168" s="14"/>
    </row>
    <row r="169" customFormat="false" ht="15" hidden="false" customHeight="false" outlineLevel="0" collapsed="false">
      <c r="A169" s="14" t="s">
        <v>416</v>
      </c>
      <c r="B169" s="14" t="s">
        <v>417</v>
      </c>
      <c r="C169" s="15" t="n">
        <v>16</v>
      </c>
      <c r="D169" s="14" t="n">
        <v>2023</v>
      </c>
      <c r="E169" s="16" t="n">
        <v>5562.42442563953</v>
      </c>
      <c r="F169" s="14" t="n">
        <v>2023</v>
      </c>
      <c r="G169" s="17" t="n">
        <f aca="false">LN(E169)</f>
        <v>8.62378933998032</v>
      </c>
      <c r="H169" s="14"/>
      <c r="I169" s="14" t="s">
        <v>418</v>
      </c>
      <c r="J169" s="14"/>
      <c r="K169" s="18" t="n">
        <v>57.3</v>
      </c>
      <c r="L169" s="14" t="n">
        <v>2020</v>
      </c>
      <c r="M169" s="19" t="str">
        <f aca="false">IF(K169="","Missing","Observed")</f>
        <v>Observed</v>
      </c>
      <c r="N169" s="17" t="n">
        <f aca="false">LN(C169)</f>
        <v>2.77258872223978</v>
      </c>
      <c r="O169" s="14" t="n">
        <f aca="false">IF($H169=1,1,0)</f>
        <v>0</v>
      </c>
      <c r="P169" s="14" t="n">
        <f aca="false">IF($H169=2,1,0)</f>
        <v>0</v>
      </c>
      <c r="Q169" s="14" t="n">
        <f aca="false">IF($H169=3,1,0)</f>
        <v>0</v>
      </c>
      <c r="R169" s="14" t="n">
        <f aca="false">IF($L169="","",$L169-2018)</f>
        <v>2</v>
      </c>
      <c r="S169" s="14" t="s">
        <v>419</v>
      </c>
    </row>
    <row r="170" customFormat="false" ht="15" hidden="false" customHeight="false" outlineLevel="0" collapsed="false">
      <c r="A170" s="14" t="s">
        <v>420</v>
      </c>
      <c r="B170" s="14" t="s">
        <v>421</v>
      </c>
      <c r="C170" s="15" t="n">
        <v>85</v>
      </c>
      <c r="D170" s="14" t="n">
        <v>2023</v>
      </c>
      <c r="E170" s="16" t="n">
        <v>3673.4841969922</v>
      </c>
      <c r="F170" s="14" t="n">
        <v>2023</v>
      </c>
      <c r="G170" s="17" t="n">
        <f aca="false">LN(E170)</f>
        <v>8.20889586315703</v>
      </c>
      <c r="H170" s="14" t="n">
        <v>2</v>
      </c>
      <c r="I170" s="14" t="s">
        <v>90</v>
      </c>
      <c r="J170" s="14" t="n">
        <v>2023</v>
      </c>
      <c r="K170" s="18" t="n">
        <v>49.6</v>
      </c>
      <c r="L170" s="14" t="n">
        <v>2018</v>
      </c>
      <c r="M170" s="19" t="str">
        <f aca="false">IF(K170="","Missing","Observed")</f>
        <v>Observed</v>
      </c>
      <c r="N170" s="17" t="n">
        <f aca="false">LN(C170)</f>
        <v>4.44265125649032</v>
      </c>
      <c r="O170" s="14" t="n">
        <f aca="false">IF($H170=1,1,0)</f>
        <v>0</v>
      </c>
      <c r="P170" s="14" t="n">
        <f aca="false">IF($H170=2,1,0)</f>
        <v>1</v>
      </c>
      <c r="Q170" s="14" t="n">
        <f aca="false">IF($H170=3,1,0)</f>
        <v>0</v>
      </c>
      <c r="R170" s="14" t="n">
        <f aca="false">IF($L170="","",$L170-2018)</f>
        <v>0</v>
      </c>
      <c r="S170" s="14"/>
    </row>
    <row r="171" customFormat="false" ht="15" hidden="false" customHeight="false" outlineLevel="0" collapsed="false">
      <c r="A171" s="14" t="s">
        <v>422</v>
      </c>
      <c r="B171" s="14" t="s">
        <v>423</v>
      </c>
      <c r="C171" s="15" t="n">
        <v>358</v>
      </c>
      <c r="D171" s="14" t="n">
        <v>2023</v>
      </c>
      <c r="E171" s="16" t="n">
        <v>5218.04526596398</v>
      </c>
      <c r="F171" s="14" t="n">
        <v>2023</v>
      </c>
      <c r="G171" s="17" t="n">
        <f aca="false">LN(E171)</f>
        <v>8.5598781406234</v>
      </c>
      <c r="H171" s="14" t="n">
        <v>1</v>
      </c>
      <c r="I171" s="14" t="s">
        <v>93</v>
      </c>
      <c r="J171" s="14" t="n">
        <v>2023</v>
      </c>
      <c r="K171" s="18" t="n">
        <v>66.8</v>
      </c>
      <c r="L171" s="14" t="n">
        <v>2015</v>
      </c>
      <c r="M171" s="19" t="str">
        <f aca="false">IF(K171="","Missing","Observed")</f>
        <v>Observed</v>
      </c>
      <c r="N171" s="17" t="n">
        <f aca="false">LN(C171)</f>
        <v>5.8805329864007</v>
      </c>
      <c r="O171" s="14" t="n">
        <f aca="false">IF($H171=1,1,0)</f>
        <v>1</v>
      </c>
      <c r="P171" s="14" t="n">
        <f aca="false">IF($H171=2,1,0)</f>
        <v>0</v>
      </c>
      <c r="Q171" s="14" t="n">
        <f aca="false">IF($H171=3,1,0)</f>
        <v>0</v>
      </c>
      <c r="R171" s="14" t="n">
        <f aca="false">IF($L171="","",$L171-2018)</f>
        <v>-3</v>
      </c>
      <c r="S171" s="14"/>
    </row>
  </sheetData>
  <mergeCells count="2">
    <mergeCell ref="A1:Q1"/>
    <mergeCell ref="A2:Q2"/>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359375" defaultRowHeight="15" customHeight="false" zeroHeight="false" outlineLevelRow="0" outlineLevelCol="0"/>
  <cols>
    <col collapsed="false" customWidth="true" hidden="false" outlineLevel="0" max="1" min="1" style="0" width="42.97"/>
    <col collapsed="false" customWidth="true" hidden="false" outlineLevel="0" max="2" min="2" style="0" width="11.94"/>
    <col collapsed="false" customWidth="true" hidden="false" outlineLevel="0" max="8" min="3" style="0" width="16.71"/>
    <col collapsed="false" customWidth="true" hidden="false" outlineLevel="0" max="9" min="9" style="0" width="21.48"/>
  </cols>
  <sheetData>
    <row r="1" customFormat="false" ht="30" hidden="false" customHeight="true" outlineLevel="0" collapsed="false">
      <c r="A1" s="10" t="s">
        <v>424</v>
      </c>
      <c r="B1" s="10"/>
      <c r="C1" s="10"/>
      <c r="D1" s="10"/>
      <c r="E1" s="10"/>
      <c r="F1" s="10"/>
      <c r="G1" s="10"/>
      <c r="H1" s="10"/>
      <c r="I1" s="10"/>
      <c r="J1" s="10"/>
      <c r="K1" s="10"/>
      <c r="L1" s="10"/>
      <c r="M1" s="10"/>
      <c r="N1" s="10"/>
      <c r="O1" s="10"/>
      <c r="P1" s="10"/>
      <c r="Q1" s="10"/>
    </row>
    <row r="2" customFormat="false" ht="31.5" hidden="false" customHeight="true" outlineLevel="0" collapsed="false">
      <c r="A2" s="2" t="s">
        <v>425</v>
      </c>
      <c r="B2" s="2"/>
      <c r="C2" s="2"/>
      <c r="D2" s="2"/>
      <c r="E2" s="2"/>
      <c r="F2" s="2"/>
      <c r="G2" s="2"/>
      <c r="H2" s="2"/>
      <c r="I2" s="2"/>
      <c r="J2" s="2"/>
      <c r="K2" s="2"/>
      <c r="L2" s="2"/>
      <c r="M2" s="2"/>
      <c r="N2" s="2"/>
      <c r="O2" s="2"/>
      <c r="P2" s="2"/>
      <c r="Q2" s="2"/>
    </row>
    <row r="3" customFormat="false" ht="15" hidden="false" customHeight="false" outlineLevel="0" collapsed="false">
      <c r="A3" s="3"/>
      <c r="B3" s="3"/>
      <c r="C3" s="3"/>
      <c r="D3" s="3"/>
      <c r="E3" s="3"/>
      <c r="F3" s="3"/>
      <c r="G3" s="3"/>
      <c r="H3" s="3"/>
      <c r="I3" s="3"/>
    </row>
    <row r="4" customFormat="false" ht="31.5" hidden="false" customHeight="true" outlineLevel="0" collapsed="false">
      <c r="A4" s="5" t="s">
        <v>426</v>
      </c>
      <c r="B4" s="11" t="s">
        <v>427</v>
      </c>
      <c r="C4" s="5" t="s">
        <v>428</v>
      </c>
      <c r="D4" s="11" t="s">
        <v>429</v>
      </c>
      <c r="E4" s="5" t="s">
        <v>430</v>
      </c>
      <c r="F4" s="11" t="s">
        <v>431</v>
      </c>
      <c r="G4" s="5" t="s">
        <v>432</v>
      </c>
      <c r="H4" s="5" t="s">
        <v>433</v>
      </c>
      <c r="I4" s="5" t="s">
        <v>434</v>
      </c>
    </row>
    <row r="5" customFormat="false" ht="15" hidden="false" customHeight="false" outlineLevel="0" collapsed="false">
      <c r="A5" s="8" t="s">
        <v>435</v>
      </c>
      <c r="B5" s="20" t="n">
        <f aca="false">COUNT(跨国底稿!$C$5:$C$171)</f>
        <v>167</v>
      </c>
      <c r="C5" s="21" t="n">
        <f aca="false">AVERAGE(跨国底稿!$C$5:$C$171)</f>
        <v>116.940119760479</v>
      </c>
      <c r="D5" s="21" t="e">
        <f aca="false">stdev.s(跨国底稿!$C$5:$C$171)</f>
        <v>#NAME?</v>
      </c>
      <c r="E5" s="21" t="n">
        <f aca="false">MEDIAN(跨国底稿!$C$5:$C$171)</f>
        <v>41</v>
      </c>
      <c r="F5" s="21" t="e">
        <f aca="false">quartile.inc(跨国底稿!$C$5:$C$171,3)-quartile.inc(跨国底稿!$C$5:$C$171,1)</f>
        <v>#NAME?</v>
      </c>
      <c r="G5" s="21" t="n">
        <f aca="false">MIN(跨国底稿!$C$5:$C$171)</f>
        <v>1</v>
      </c>
      <c r="H5" s="21" t="n">
        <f aca="false">MAX(跨国底稿!$C$5:$C$171)</f>
        <v>993</v>
      </c>
      <c r="I5" s="8" t="s">
        <v>436</v>
      </c>
    </row>
    <row r="6" customFormat="false" ht="15" hidden="false" customHeight="false" outlineLevel="0" collapsed="false">
      <c r="A6" s="8" t="s">
        <v>437</v>
      </c>
      <c r="B6" s="20" t="n">
        <f aca="false">COUNT(跨国底稿!$N$5:$N$171)</f>
        <v>167</v>
      </c>
      <c r="C6" s="21" t="n">
        <f aca="false">AVERAGE(跨国底稿!$N$5:$N$171)</f>
        <v>3.63708039977652</v>
      </c>
      <c r="D6" s="21" t="e">
        <f aca="false">stdev.s(跨国底稿!$N$5:$N$171)</f>
        <v>#NAME?</v>
      </c>
      <c r="E6" s="21" t="n">
        <f aca="false">MEDIAN(跨国底稿!$N$5:$N$171)</f>
        <v>3.71357206670431</v>
      </c>
      <c r="F6" s="21" t="e">
        <f aca="false">quartile.inc(跨国底稿!$N$5:$N$171,3)-quartile.inc(跨国底稿!$N$5:$N$171,1)</f>
        <v>#NAME?</v>
      </c>
      <c r="G6" s="21" t="n">
        <f aca="false">MIN(跨国底稿!$N$5:$N$171)</f>
        <v>0</v>
      </c>
      <c r="H6" s="21" t="n">
        <f aca="false">MAX(跨国底稿!$N$5:$N$171)</f>
        <v>6.90073066404517</v>
      </c>
      <c r="I6" s="8" t="s">
        <v>438</v>
      </c>
    </row>
    <row r="7" customFormat="false" ht="23.85" hidden="false" customHeight="false" outlineLevel="0" collapsed="false">
      <c r="A7" s="8" t="s">
        <v>439</v>
      </c>
      <c r="B7" s="20" t="n">
        <f aca="false">COUNT(跨国底稿!$E$5:$E$171)</f>
        <v>167</v>
      </c>
      <c r="C7" s="21" t="n">
        <f aca="false">AVERAGE(跨国底稿!$E$5:$E$171)</f>
        <v>25423.0465425308</v>
      </c>
      <c r="D7" s="21" t="e">
        <f aca="false">stdev.s(跨国底稿!$E$5:$E$171)</f>
        <v>#NAME?</v>
      </c>
      <c r="E7" s="21" t="n">
        <f aca="false">MEDIAN(跨国底稿!$E$5:$E$171)</f>
        <v>15916.9580078125</v>
      </c>
      <c r="F7" s="21" t="e">
        <f aca="false">quartile.inc(跨国底稿!$E$5:$E$171,3)-quartile.inc(跨国底稿!$E$5:$E$171,1)</f>
        <v>#NAME?</v>
      </c>
      <c r="G7" s="21" t="n">
        <f aca="false">MIN(跨国底稿!$E$5:$E$171)</f>
        <v>1033.00937341776</v>
      </c>
      <c r="H7" s="21" t="n">
        <f aca="false">MAX(跨国底稿!$E$5:$E$171)</f>
        <v>130296.843789261</v>
      </c>
      <c r="I7" s="8" t="s">
        <v>440</v>
      </c>
    </row>
    <row r="8" customFormat="false" ht="15" hidden="false" customHeight="false" outlineLevel="0" collapsed="false">
      <c r="A8" s="8" t="s">
        <v>441</v>
      </c>
      <c r="B8" s="20" t="n">
        <f aca="false">COUNT(跨国底稿!$G$5:$G$171)</f>
        <v>167</v>
      </c>
      <c r="C8" s="21" t="n">
        <f aca="false">AVERAGE(跨国底稿!$G$5:$G$171)</f>
        <v>9.57132186227062</v>
      </c>
      <c r="D8" s="21" t="e">
        <f aca="false">stdev.s(跨国底稿!$G$5:$G$171)</f>
        <v>#NAME?</v>
      </c>
      <c r="E8" s="21" t="n">
        <f aca="false">MEDIAN(跨国底稿!$G$5:$G$171)</f>
        <v>9.67514036122901</v>
      </c>
      <c r="F8" s="21" t="e">
        <f aca="false">quartile.inc(跨国底稿!$G$5:$G$171,3)-quartile.inc(跨国底稿!$G$5:$G$171,1)</f>
        <v>#NAME?</v>
      </c>
      <c r="G8" s="21" t="n">
        <f aca="false">MIN(跨国底稿!$G$5:$G$171)</f>
        <v>6.940231543055</v>
      </c>
      <c r="H8" s="21" t="n">
        <f aca="false">MAX(跨国底稿!$G$5:$G$171)</f>
        <v>11.7775705401738</v>
      </c>
      <c r="I8" s="8" t="s">
        <v>442</v>
      </c>
    </row>
    <row r="9" customFormat="false" ht="15" hidden="false" customHeight="false" outlineLevel="0" collapsed="false">
      <c r="A9" s="8" t="s">
        <v>443</v>
      </c>
      <c r="B9" s="20" t="n">
        <f aca="false">COUNT(跨国底稿!$H$5:$H$171)</f>
        <v>166</v>
      </c>
      <c r="C9" s="21" t="n">
        <f aca="false">AVERAGE(跨国底稿!$H$5:$H$171)</f>
        <v>1.56626506024096</v>
      </c>
      <c r="D9" s="21" t="e">
        <f aca="false">stdev.s(跨国底稿!$H$5:$H$171)</f>
        <v>#NAME?</v>
      </c>
      <c r="E9" s="21" t="n">
        <f aca="false">MEDIAN(跨国底稿!$H$5:$H$171)</f>
        <v>2</v>
      </c>
      <c r="F9" s="21" t="e">
        <f aca="false">quartile.inc(跨国底稿!$H$5:$H$171,3)-quartile.inc(跨国底稿!$H$5:$H$171,1)</f>
        <v>#NAME?</v>
      </c>
      <c r="G9" s="21" t="n">
        <f aca="false">MIN(跨国底稿!$H$5:$H$171)</f>
        <v>0</v>
      </c>
      <c r="H9" s="21" t="n">
        <f aca="false">MAX(跨国底稿!$H$5:$H$171)</f>
        <v>3</v>
      </c>
      <c r="I9" s="8" t="s">
        <v>444</v>
      </c>
    </row>
    <row r="10" customFormat="false" ht="15" hidden="false" customHeight="false" outlineLevel="0" collapsed="false">
      <c r="A10" s="8" t="s">
        <v>445</v>
      </c>
      <c r="B10" s="20" t="n">
        <f aca="false">COUNT(跨国底稿!$K$5:$K$171)</f>
        <v>139</v>
      </c>
      <c r="C10" s="21" t="n">
        <f aca="false">AVERAGE(跨国底稿!$K$5:$K$171)</f>
        <v>49.8955625090209</v>
      </c>
      <c r="D10" s="21" t="e">
        <f aca="false">stdev.s(跨国底稿!$K$5:$K$171)</f>
        <v>#NAME?</v>
      </c>
      <c r="E10" s="21" t="n">
        <f aca="false">MEDIAN(跨国底稿!$K$5:$K$171)</f>
        <v>54.6</v>
      </c>
      <c r="F10" s="21" t="e">
        <f aca="false">quartile.inc(跨国底稿!$K$5:$K$171,3)-quartile.inc(跨国底稿!$K$5:$K$171,1)</f>
        <v>#NAME?</v>
      </c>
      <c r="G10" s="21" t="n">
        <f aca="false">MIN(跨国底稿!$K$5:$K$171)</f>
        <v>6.9</v>
      </c>
      <c r="H10" s="21" t="n">
        <f aca="false">MAX(跨国底稿!$K$5:$K$171)</f>
        <v>85.4748603351955</v>
      </c>
      <c r="I10" s="8" t="s">
        <v>446</v>
      </c>
    </row>
    <row r="11" customFormat="false" ht="15" hidden="false" customHeight="false" outlineLevel="0" collapsed="false">
      <c r="A11" s="8" t="s">
        <v>447</v>
      </c>
      <c r="B11" s="20" t="n">
        <f aca="false">COUNT(跨国底稿!$L$5:$L$171)</f>
        <v>139</v>
      </c>
      <c r="C11" s="21" t="n">
        <f aca="false">AVERAGE(跨国底稿!$L$5:$L$171)</f>
        <v>2017.74100719424</v>
      </c>
      <c r="D11" s="21" t="e">
        <f aca="false">stdev.s(跨国底稿!$L$5:$L$171)</f>
        <v>#NAME?</v>
      </c>
      <c r="E11" s="21" t="n">
        <f aca="false">MEDIAN(跨国底稿!$L$5:$L$171)</f>
        <v>2018</v>
      </c>
      <c r="F11" s="21" t="e">
        <f aca="false">quartile.inc(跨国底稿!$L$5:$L$171,3)-quartile.inc(跨国底稿!$L$5:$L$171,1)</f>
        <v>#NAME?</v>
      </c>
      <c r="G11" s="21" t="n">
        <f aca="false">MIN(跨国底稿!$L$5:$L$171)</f>
        <v>2010</v>
      </c>
      <c r="H11" s="21" t="n">
        <f aca="false">MAX(跨国底稿!$L$5:$L$171)</f>
        <v>2023</v>
      </c>
      <c r="I11" s="8" t="s">
        <v>448</v>
      </c>
    </row>
  </sheetData>
  <mergeCells count="2">
    <mergeCell ref="A1:Q1"/>
    <mergeCell ref="A2:Q2"/>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359375" defaultRowHeight="15" customHeight="false" zeroHeight="false" outlineLevelRow="0" outlineLevelCol="0"/>
  <cols>
    <col collapsed="false" customWidth="true" hidden="false" outlineLevel="0" max="1" min="1" style="0" width="14.33"/>
    <col collapsed="false" customWidth="true" hidden="false" outlineLevel="0" max="2" min="2" style="0" width="33.42"/>
    <col collapsed="false" customWidth="true" hidden="false" outlineLevel="0" max="3" min="3" style="0" width="19.1"/>
    <col collapsed="false" customWidth="true" hidden="false" outlineLevel="0" max="4" min="4" style="0" width="33.42"/>
    <col collapsed="false" customWidth="true" hidden="false" outlineLevel="0" max="5" min="5" style="0" width="57.29"/>
  </cols>
  <sheetData>
    <row r="1" customFormat="false" ht="30" hidden="false" customHeight="true" outlineLevel="0" collapsed="false">
      <c r="A1" s="1" t="s">
        <v>449</v>
      </c>
      <c r="B1" s="1"/>
      <c r="C1" s="1"/>
      <c r="D1" s="1"/>
      <c r="E1" s="1"/>
      <c r="F1" s="1"/>
      <c r="G1" s="1"/>
      <c r="H1" s="1"/>
      <c r="I1" s="1"/>
      <c r="J1" s="1"/>
      <c r="K1" s="1"/>
      <c r="L1" s="1"/>
      <c r="M1" s="1"/>
      <c r="N1" s="1"/>
      <c r="O1" s="1"/>
      <c r="P1" s="1"/>
      <c r="Q1" s="1"/>
    </row>
    <row r="2" customFormat="false" ht="31.5" hidden="false" customHeight="true" outlineLevel="0" collapsed="false">
      <c r="A2" s="2" t="s">
        <v>450</v>
      </c>
      <c r="B2" s="2"/>
      <c r="C2" s="2"/>
      <c r="D2" s="2"/>
      <c r="E2" s="2"/>
      <c r="F2" s="2"/>
      <c r="G2" s="2"/>
      <c r="H2" s="2"/>
      <c r="I2" s="2"/>
      <c r="J2" s="2"/>
      <c r="K2" s="2"/>
      <c r="L2" s="2"/>
      <c r="M2" s="2"/>
      <c r="N2" s="2"/>
      <c r="O2" s="2"/>
      <c r="P2" s="2"/>
      <c r="Q2" s="2"/>
    </row>
    <row r="3" customFormat="false" ht="15" hidden="false" customHeight="false" outlineLevel="0" collapsed="false">
      <c r="A3" s="3"/>
      <c r="B3" s="3"/>
      <c r="C3" s="3"/>
      <c r="D3" s="3"/>
      <c r="E3" s="3"/>
      <c r="F3" s="3"/>
    </row>
    <row r="4" customFormat="false" ht="31.5" hidden="false" customHeight="true" outlineLevel="0" collapsed="false">
      <c r="A4" s="5" t="s">
        <v>73</v>
      </c>
      <c r="B4" s="5" t="s">
        <v>451</v>
      </c>
      <c r="C4" s="5" t="s">
        <v>452</v>
      </c>
      <c r="D4" s="11" t="s">
        <v>453</v>
      </c>
      <c r="E4" s="11" t="s">
        <v>454</v>
      </c>
      <c r="F4" s="5" t="s">
        <v>455</v>
      </c>
    </row>
    <row r="5" customFormat="false" ht="15" hidden="false" customHeight="false" outlineLevel="0" collapsed="false">
      <c r="A5" s="7" t="n">
        <v>0</v>
      </c>
      <c r="B5" s="8" t="s">
        <v>87</v>
      </c>
      <c r="C5" s="7" t="n">
        <f aca="false">COUNTIF(跨国底稿!$H$5:$H$171,A5)</f>
        <v>27</v>
      </c>
      <c r="D5" s="7" t="n">
        <f aca="false">COUNTIFS(跨国底稿!$H$5:$H$171,A5,跨国底稿!$M$5:$M$171,"Observed")</f>
        <v>24</v>
      </c>
      <c r="E5" s="7" t="n">
        <f aca="false">COUNTIFS(跨国底稿!$H$5:$H$171,A5,跨国底稿!$M$5:$M$171,"Missing")</f>
        <v>3</v>
      </c>
      <c r="F5" s="22" t="n">
        <f aca="false">IFERROR(E5/C5,"")</f>
        <v>0.111111111111111</v>
      </c>
    </row>
    <row r="6" customFormat="false" ht="15" hidden="false" customHeight="false" outlineLevel="0" collapsed="false">
      <c r="A6" s="7" t="n">
        <v>1</v>
      </c>
      <c r="B6" s="8" t="s">
        <v>93</v>
      </c>
      <c r="C6" s="7" t="n">
        <f aca="false">COUNTIF(跨国底稿!$H$5:$H$171,A6)</f>
        <v>51</v>
      </c>
      <c r="D6" s="7" t="n">
        <f aca="false">COUNTIFS(跨国底稿!$H$5:$H$171,A6,跨国底稿!$M$5:$M$171,"Observed")</f>
        <v>47</v>
      </c>
      <c r="E6" s="7" t="n">
        <f aca="false">COUNTIFS(跨国底稿!$H$5:$H$171,A6,跨国底稿!$M$5:$M$171,"Missing")</f>
        <v>4</v>
      </c>
      <c r="F6" s="22" t="n">
        <f aca="false">IFERROR(E6/C6,"")</f>
        <v>0.0784313725490196</v>
      </c>
    </row>
    <row r="7" customFormat="false" ht="15" hidden="false" customHeight="false" outlineLevel="0" collapsed="false">
      <c r="A7" s="7" t="n">
        <v>2</v>
      </c>
      <c r="B7" s="8" t="s">
        <v>90</v>
      </c>
      <c r="C7" s="7" t="n">
        <f aca="false">COUNTIF(跨国底稿!$H$5:$H$171,A7)</f>
        <v>55</v>
      </c>
      <c r="D7" s="7" t="n">
        <f aca="false">COUNTIFS(跨国底稿!$H$5:$H$171,A7,跨国底稿!$M$5:$M$171,"Observed")</f>
        <v>45</v>
      </c>
      <c r="E7" s="7" t="n">
        <f aca="false">COUNTIFS(跨国底稿!$H$5:$H$171,A7,跨国底稿!$M$5:$M$171,"Missing")</f>
        <v>10</v>
      </c>
      <c r="F7" s="22" t="n">
        <f aca="false">IFERROR(E7/C7,"")</f>
        <v>0.181818181818182</v>
      </c>
    </row>
    <row r="8" customFormat="false" ht="15" hidden="false" customHeight="false" outlineLevel="0" collapsed="false">
      <c r="A8" s="7" t="n">
        <v>3</v>
      </c>
      <c r="B8" s="8" t="s">
        <v>102</v>
      </c>
      <c r="C8" s="7" t="n">
        <f aca="false">COUNTIF(跨国底稿!$H$5:$H$171,A8)</f>
        <v>33</v>
      </c>
      <c r="D8" s="7" t="n">
        <f aca="false">COUNTIFS(跨国底稿!$H$5:$H$171,A8,跨国底稿!$M$5:$M$171,"Observed")</f>
        <v>22</v>
      </c>
      <c r="E8" s="7" t="n">
        <f aca="false">COUNTIFS(跨国底稿!$H$5:$H$171,A8,跨国底稿!$M$5:$M$171,"Missing")</f>
        <v>11</v>
      </c>
      <c r="F8" s="22" t="n">
        <f aca="false">IFERROR(E8/C8,"")</f>
        <v>0.333333333333333</v>
      </c>
    </row>
    <row r="9" customFormat="false" ht="15" hidden="false" customHeight="false" outlineLevel="0" collapsed="false">
      <c r="A9" s="3"/>
      <c r="B9" s="3"/>
      <c r="C9" s="3"/>
      <c r="D9" s="3"/>
      <c r="E9" s="3"/>
      <c r="F9" s="3"/>
    </row>
    <row r="10" customFormat="false" ht="15" hidden="false" customHeight="false" outlineLevel="0" collapsed="false">
      <c r="A10" s="3"/>
      <c r="B10" s="3"/>
      <c r="C10" s="3"/>
      <c r="D10" s="3"/>
      <c r="E10" s="3"/>
      <c r="F10" s="3"/>
    </row>
    <row r="11" customFormat="false" ht="15" hidden="false" customHeight="false" outlineLevel="0" collapsed="false">
      <c r="A11" s="23" t="s">
        <v>456</v>
      </c>
      <c r="B11" s="23"/>
      <c r="C11" s="23"/>
      <c r="D11" s="23"/>
      <c r="E11" s="23"/>
      <c r="F11" s="3"/>
    </row>
    <row r="12" customFormat="false" ht="31.5" hidden="false" customHeight="true" outlineLevel="0" collapsed="false">
      <c r="A12" s="11" t="s">
        <v>66</v>
      </c>
      <c r="B12" s="5" t="s">
        <v>67</v>
      </c>
      <c r="C12" s="5" t="s">
        <v>73</v>
      </c>
      <c r="D12" s="5" t="s">
        <v>451</v>
      </c>
      <c r="E12" s="5" t="s">
        <v>457</v>
      </c>
      <c r="F12" s="3"/>
    </row>
    <row r="13" customFormat="false" ht="15" hidden="false" customHeight="false" outlineLevel="0" collapsed="false">
      <c r="A13" s="8" t="s">
        <v>107</v>
      </c>
      <c r="B13" s="8" t="s">
        <v>108</v>
      </c>
      <c r="C13" s="7" t="n">
        <v>0</v>
      </c>
      <c r="D13" s="8" t="s">
        <v>87</v>
      </c>
      <c r="E13" s="7" t="s">
        <v>458</v>
      </c>
      <c r="F13" s="3"/>
    </row>
    <row r="14" customFormat="false" ht="15" hidden="false" customHeight="false" outlineLevel="0" collapsed="false">
      <c r="A14" s="8" t="s">
        <v>129</v>
      </c>
      <c r="B14" s="8" t="s">
        <v>130</v>
      </c>
      <c r="C14" s="7" t="n">
        <v>2</v>
      </c>
      <c r="D14" s="8" t="s">
        <v>90</v>
      </c>
      <c r="E14" s="7" t="s">
        <v>458</v>
      </c>
      <c r="F14" s="3"/>
    </row>
    <row r="15" customFormat="false" ht="15" hidden="false" customHeight="false" outlineLevel="0" collapsed="false">
      <c r="A15" s="8" t="s">
        <v>141</v>
      </c>
      <c r="B15" s="8" t="s">
        <v>142</v>
      </c>
      <c r="C15" s="7" t="n">
        <v>2</v>
      </c>
      <c r="D15" s="8" t="s">
        <v>90</v>
      </c>
      <c r="E15" s="7" t="s">
        <v>458</v>
      </c>
      <c r="F15" s="3"/>
    </row>
    <row r="16" customFormat="false" ht="15" hidden="false" customHeight="false" outlineLevel="0" collapsed="false">
      <c r="A16" s="8" t="s">
        <v>163</v>
      </c>
      <c r="B16" s="8" t="s">
        <v>164</v>
      </c>
      <c r="C16" s="7" t="n">
        <v>2</v>
      </c>
      <c r="D16" s="8" t="s">
        <v>90</v>
      </c>
      <c r="E16" s="7" t="s">
        <v>458</v>
      </c>
      <c r="F16" s="3"/>
    </row>
    <row r="17" customFormat="false" ht="15" hidden="false" customHeight="false" outlineLevel="0" collapsed="false">
      <c r="A17" s="8" t="s">
        <v>165</v>
      </c>
      <c r="B17" s="8" t="s">
        <v>166</v>
      </c>
      <c r="C17" s="7" t="n">
        <v>3</v>
      </c>
      <c r="D17" s="8" t="s">
        <v>102</v>
      </c>
      <c r="E17" s="7" t="s">
        <v>459</v>
      </c>
      <c r="F17" s="3"/>
    </row>
    <row r="18" customFormat="false" ht="15" hidden="false" customHeight="false" outlineLevel="0" collapsed="false">
      <c r="A18" s="8" t="s">
        <v>167</v>
      </c>
      <c r="B18" s="8" t="s">
        <v>168</v>
      </c>
      <c r="C18" s="7" t="n">
        <v>3</v>
      </c>
      <c r="D18" s="8" t="s">
        <v>102</v>
      </c>
      <c r="E18" s="7" t="s">
        <v>459</v>
      </c>
      <c r="F18" s="3"/>
    </row>
    <row r="19" customFormat="false" ht="15" hidden="false" customHeight="false" outlineLevel="0" collapsed="false">
      <c r="A19" s="8" t="s">
        <v>169</v>
      </c>
      <c r="B19" s="8" t="s">
        <v>170</v>
      </c>
      <c r="C19" s="7" t="n">
        <v>3</v>
      </c>
      <c r="D19" s="8" t="s">
        <v>102</v>
      </c>
      <c r="E19" s="7" t="s">
        <v>459</v>
      </c>
      <c r="F19" s="3"/>
    </row>
    <row r="20" customFormat="false" ht="15" hidden="false" customHeight="false" outlineLevel="0" collapsed="false">
      <c r="A20" s="8" t="s">
        <v>205</v>
      </c>
      <c r="B20" s="8" t="s">
        <v>206</v>
      </c>
      <c r="C20" s="7" t="n">
        <v>2</v>
      </c>
      <c r="D20" s="8" t="s">
        <v>90</v>
      </c>
      <c r="E20" s="7" t="s">
        <v>458</v>
      </c>
      <c r="F20" s="3"/>
    </row>
    <row r="21" customFormat="false" ht="15" hidden="false" customHeight="false" outlineLevel="0" collapsed="false">
      <c r="A21" s="8" t="s">
        <v>219</v>
      </c>
      <c r="B21" s="8" t="s">
        <v>220</v>
      </c>
      <c r="C21" s="7" t="n">
        <v>1</v>
      </c>
      <c r="D21" s="8" t="s">
        <v>93</v>
      </c>
      <c r="E21" s="7" t="s">
        <v>458</v>
      </c>
      <c r="F21" s="3"/>
    </row>
    <row r="22" customFormat="false" ht="15" hidden="false" customHeight="false" outlineLevel="0" collapsed="false">
      <c r="A22" s="8" t="s">
        <v>221</v>
      </c>
      <c r="B22" s="8" t="s">
        <v>222</v>
      </c>
      <c r="C22" s="7" t="n">
        <v>3</v>
      </c>
      <c r="D22" s="8" t="s">
        <v>102</v>
      </c>
      <c r="E22" s="7" t="s">
        <v>459</v>
      </c>
      <c r="F22" s="3"/>
    </row>
    <row r="23" customFormat="false" ht="15" hidden="false" customHeight="false" outlineLevel="0" collapsed="false">
      <c r="A23" s="8" t="s">
        <v>233</v>
      </c>
      <c r="B23" s="8" t="s">
        <v>234</v>
      </c>
      <c r="C23" s="7" t="n">
        <v>2</v>
      </c>
      <c r="D23" s="8" t="s">
        <v>90</v>
      </c>
      <c r="E23" s="7" t="s">
        <v>458</v>
      </c>
      <c r="F23" s="3"/>
    </row>
    <row r="24" customFormat="false" ht="15" hidden="false" customHeight="false" outlineLevel="0" collapsed="false">
      <c r="A24" s="8" t="s">
        <v>249</v>
      </c>
      <c r="B24" s="8" t="s">
        <v>250</v>
      </c>
      <c r="C24" s="7" t="n">
        <v>1</v>
      </c>
      <c r="D24" s="8" t="s">
        <v>93</v>
      </c>
      <c r="E24" s="7" t="s">
        <v>458</v>
      </c>
      <c r="F24" s="3"/>
    </row>
    <row r="25" customFormat="false" ht="15" hidden="false" customHeight="false" outlineLevel="0" collapsed="false">
      <c r="A25" s="8" t="s">
        <v>255</v>
      </c>
      <c r="B25" s="8" t="s">
        <v>256</v>
      </c>
      <c r="C25" s="7" t="n">
        <v>3</v>
      </c>
      <c r="D25" s="8" t="s">
        <v>102</v>
      </c>
      <c r="E25" s="7" t="s">
        <v>459</v>
      </c>
      <c r="F25" s="3"/>
    </row>
    <row r="26" customFormat="false" ht="15" hidden="false" customHeight="false" outlineLevel="0" collapsed="false">
      <c r="A26" s="8" t="s">
        <v>257</v>
      </c>
      <c r="B26" s="8" t="s">
        <v>258</v>
      </c>
      <c r="C26" s="7" t="n">
        <v>1</v>
      </c>
      <c r="D26" s="8" t="s">
        <v>93</v>
      </c>
      <c r="E26" s="7" t="s">
        <v>458</v>
      </c>
      <c r="F26" s="3"/>
    </row>
    <row r="27" customFormat="false" ht="15" hidden="false" customHeight="false" outlineLevel="0" collapsed="false">
      <c r="A27" s="8" t="s">
        <v>265</v>
      </c>
      <c r="B27" s="8" t="s">
        <v>266</v>
      </c>
      <c r="C27" s="7" t="n">
        <v>2</v>
      </c>
      <c r="D27" s="8" t="s">
        <v>90</v>
      </c>
      <c r="E27" s="7" t="s">
        <v>458</v>
      </c>
      <c r="F27" s="3"/>
    </row>
    <row r="28" customFormat="false" ht="15" hidden="false" customHeight="false" outlineLevel="0" collapsed="false">
      <c r="A28" s="8" t="s">
        <v>267</v>
      </c>
      <c r="B28" s="8" t="s">
        <v>268</v>
      </c>
      <c r="C28" s="7" t="n">
        <v>3</v>
      </c>
      <c r="D28" s="8" t="s">
        <v>102</v>
      </c>
      <c r="E28" s="7" t="s">
        <v>459</v>
      </c>
      <c r="F28" s="3"/>
    </row>
    <row r="29" customFormat="false" ht="15" hidden="false" customHeight="false" outlineLevel="0" collapsed="false">
      <c r="A29" s="8" t="s">
        <v>279</v>
      </c>
      <c r="B29" s="8" t="s">
        <v>280</v>
      </c>
      <c r="C29" s="7" t="n">
        <v>2</v>
      </c>
      <c r="D29" s="8" t="s">
        <v>90</v>
      </c>
      <c r="E29" s="7" t="s">
        <v>458</v>
      </c>
      <c r="F29" s="3"/>
    </row>
    <row r="30" customFormat="false" ht="15" hidden="false" customHeight="false" outlineLevel="0" collapsed="false">
      <c r="A30" s="8" t="s">
        <v>304</v>
      </c>
      <c r="B30" s="8" t="s">
        <v>305</v>
      </c>
      <c r="C30" s="7" t="n">
        <v>3</v>
      </c>
      <c r="D30" s="8" t="s">
        <v>102</v>
      </c>
      <c r="E30" s="7" t="s">
        <v>459</v>
      </c>
      <c r="F30" s="3"/>
    </row>
    <row r="31" customFormat="false" ht="15" hidden="false" customHeight="false" outlineLevel="0" collapsed="false">
      <c r="A31" s="8" t="s">
        <v>314</v>
      </c>
      <c r="B31" s="8" t="s">
        <v>315</v>
      </c>
      <c r="C31" s="7" t="n">
        <v>3</v>
      </c>
      <c r="D31" s="8" t="s">
        <v>102</v>
      </c>
      <c r="E31" s="7" t="s">
        <v>459</v>
      </c>
      <c r="F31" s="3"/>
    </row>
    <row r="32" customFormat="false" ht="15" hidden="false" customHeight="false" outlineLevel="0" collapsed="false">
      <c r="A32" s="8" t="s">
        <v>336</v>
      </c>
      <c r="B32" s="8" t="s">
        <v>337</v>
      </c>
      <c r="C32" s="7" t="n">
        <v>2</v>
      </c>
      <c r="D32" s="8" t="s">
        <v>90</v>
      </c>
      <c r="E32" s="7" t="s">
        <v>458</v>
      </c>
      <c r="F32" s="3"/>
    </row>
    <row r="33" customFormat="false" ht="15" hidden="false" customHeight="false" outlineLevel="0" collapsed="false">
      <c r="A33" s="8" t="s">
        <v>350</v>
      </c>
      <c r="B33" s="8" t="s">
        <v>351</v>
      </c>
      <c r="C33" s="7" t="n">
        <v>3</v>
      </c>
      <c r="D33" s="8" t="s">
        <v>102</v>
      </c>
      <c r="E33" s="7" t="s">
        <v>459</v>
      </c>
      <c r="F33" s="3"/>
    </row>
    <row r="34" customFormat="false" ht="15" hidden="false" customHeight="false" outlineLevel="0" collapsed="false">
      <c r="A34" s="8" t="s">
        <v>354</v>
      </c>
      <c r="B34" s="8" t="s">
        <v>355</v>
      </c>
      <c r="C34" s="7" t="n">
        <v>1</v>
      </c>
      <c r="D34" s="8" t="s">
        <v>93</v>
      </c>
      <c r="E34" s="7" t="s">
        <v>458</v>
      </c>
      <c r="F34" s="3"/>
    </row>
    <row r="35" customFormat="false" ht="15" hidden="false" customHeight="false" outlineLevel="0" collapsed="false">
      <c r="A35" s="8" t="s">
        <v>356</v>
      </c>
      <c r="B35" s="8" t="s">
        <v>357</v>
      </c>
      <c r="C35" s="7" t="n">
        <v>2</v>
      </c>
      <c r="D35" s="8" t="s">
        <v>90</v>
      </c>
      <c r="E35" s="7" t="s">
        <v>458</v>
      </c>
      <c r="F35" s="3"/>
    </row>
    <row r="36" customFormat="false" ht="15" hidden="false" customHeight="false" outlineLevel="0" collapsed="false">
      <c r="A36" s="8" t="s">
        <v>358</v>
      </c>
      <c r="B36" s="8" t="s">
        <v>359</v>
      </c>
      <c r="C36" s="7" t="n">
        <v>2</v>
      </c>
      <c r="D36" s="8" t="s">
        <v>90</v>
      </c>
      <c r="E36" s="7" t="s">
        <v>458</v>
      </c>
      <c r="F36" s="3"/>
    </row>
    <row r="37" customFormat="false" ht="15" hidden="false" customHeight="false" outlineLevel="0" collapsed="false">
      <c r="A37" s="8" t="s">
        <v>374</v>
      </c>
      <c r="B37" s="8" t="s">
        <v>375</v>
      </c>
      <c r="C37" s="7" t="n">
        <v>3</v>
      </c>
      <c r="D37" s="8" t="s">
        <v>102</v>
      </c>
      <c r="E37" s="7" t="s">
        <v>459</v>
      </c>
      <c r="F37" s="3"/>
    </row>
    <row r="38" customFormat="false" ht="15" hidden="false" customHeight="false" outlineLevel="0" collapsed="false">
      <c r="A38" s="8" t="s">
        <v>378</v>
      </c>
      <c r="B38" s="8" t="s">
        <v>379</v>
      </c>
      <c r="C38" s="7" t="n">
        <v>0</v>
      </c>
      <c r="D38" s="8" t="s">
        <v>87</v>
      </c>
      <c r="E38" s="7" t="s">
        <v>458</v>
      </c>
      <c r="F38" s="3"/>
    </row>
    <row r="39" customFormat="false" ht="15" hidden="false" customHeight="false" outlineLevel="0" collapsed="false">
      <c r="A39" s="8" t="s">
        <v>402</v>
      </c>
      <c r="B39" s="8" t="s">
        <v>403</v>
      </c>
      <c r="C39" s="7" t="n">
        <v>0</v>
      </c>
      <c r="D39" s="8" t="s">
        <v>87</v>
      </c>
      <c r="E39" s="7" t="s">
        <v>458</v>
      </c>
      <c r="F39" s="3"/>
    </row>
    <row r="40" customFormat="false" ht="15" hidden="false" customHeight="false" outlineLevel="0" collapsed="false">
      <c r="A40" s="8" t="s">
        <v>408</v>
      </c>
      <c r="B40" s="8" t="s">
        <v>409</v>
      </c>
      <c r="C40" s="7" t="n">
        <v>3</v>
      </c>
      <c r="D40" s="8" t="s">
        <v>102</v>
      </c>
      <c r="E40" s="7" t="s">
        <v>459</v>
      </c>
      <c r="F40" s="3"/>
    </row>
  </sheetData>
  <mergeCells count="3">
    <mergeCell ref="A1:Q1"/>
    <mergeCell ref="A2:Q2"/>
    <mergeCell ref="A11:E11"/>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359375" defaultRowHeight="15" customHeight="false" zeroHeight="false" outlineLevelRow="0" outlineLevelCol="0"/>
  <cols>
    <col collapsed="false" customWidth="true" hidden="false" outlineLevel="0" max="2" min="1" style="0" width="29.84"/>
    <col collapsed="false" customWidth="true" hidden="false" outlineLevel="0" max="3" min="3" style="0" width="11.94"/>
    <col collapsed="false" customWidth="true" hidden="false" outlineLevel="0" max="4" min="4" style="0" width="17.9"/>
    <col collapsed="false" customWidth="true" hidden="false" outlineLevel="0" max="5" min="5" style="0" width="69.23"/>
  </cols>
  <sheetData>
    <row r="1" customFormat="false" ht="30" hidden="false" customHeight="true" outlineLevel="0" collapsed="false">
      <c r="A1" s="10" t="s">
        <v>460</v>
      </c>
      <c r="B1" s="10"/>
      <c r="C1" s="10"/>
      <c r="D1" s="10"/>
      <c r="E1" s="10"/>
      <c r="F1" s="10"/>
      <c r="G1" s="10"/>
      <c r="H1" s="10"/>
      <c r="I1" s="10"/>
      <c r="J1" s="10"/>
      <c r="K1" s="10"/>
      <c r="L1" s="10"/>
      <c r="M1" s="10"/>
      <c r="N1" s="10"/>
      <c r="O1" s="10"/>
      <c r="P1" s="10"/>
      <c r="Q1" s="10"/>
    </row>
    <row r="2" customFormat="false" ht="31.5" hidden="false" customHeight="true" outlineLevel="0" collapsed="false">
      <c r="A2" s="24" t="s">
        <v>461</v>
      </c>
      <c r="B2" s="24"/>
      <c r="C2" s="24"/>
      <c r="D2" s="24"/>
      <c r="E2" s="24"/>
      <c r="F2" s="24"/>
      <c r="G2" s="24"/>
      <c r="H2" s="24"/>
      <c r="I2" s="24"/>
      <c r="J2" s="24"/>
      <c r="K2" s="24"/>
      <c r="L2" s="24"/>
      <c r="M2" s="24"/>
      <c r="N2" s="24"/>
      <c r="O2" s="24"/>
      <c r="P2" s="24"/>
      <c r="Q2" s="24"/>
    </row>
    <row r="3" customFormat="false" ht="15" hidden="false" customHeight="false" outlineLevel="0" collapsed="false">
      <c r="A3" s="3"/>
      <c r="B3" s="3"/>
      <c r="C3" s="3"/>
      <c r="D3" s="3"/>
      <c r="E3" s="3"/>
    </row>
    <row r="4" customFormat="false" ht="31.5" hidden="false" customHeight="true" outlineLevel="0" collapsed="false">
      <c r="A4" s="5" t="s">
        <v>462</v>
      </c>
      <c r="B4" s="5" t="s">
        <v>463</v>
      </c>
      <c r="C4" s="11" t="s">
        <v>427</v>
      </c>
      <c r="D4" s="11" t="s">
        <v>464</v>
      </c>
      <c r="E4" s="5" t="s">
        <v>465</v>
      </c>
    </row>
    <row r="5" customFormat="false" ht="15" hidden="false" customHeight="false" outlineLevel="0" collapsed="false">
      <c r="A5" s="7" t="s">
        <v>73</v>
      </c>
      <c r="B5" s="8" t="s">
        <v>437</v>
      </c>
      <c r="C5" s="7" t="n">
        <v>166</v>
      </c>
      <c r="D5" s="21" t="n">
        <f aca="false">CORREL(跨国底稿!$H$5:$H$171,跨国底稿!$N$5:$N$171)</f>
        <v>-0.441396977291987</v>
      </c>
      <c r="E5" s="7" t="s">
        <v>466</v>
      </c>
    </row>
    <row r="6" customFormat="false" ht="15" hidden="false" customHeight="false" outlineLevel="0" collapsed="false">
      <c r="A6" s="7" t="s">
        <v>73</v>
      </c>
      <c r="B6" s="8" t="s">
        <v>68</v>
      </c>
      <c r="C6" s="7" t="n">
        <v>166</v>
      </c>
      <c r="D6" s="21" t="n">
        <f aca="false">CORREL(跨国底稿!$H$5:$H$171,跨国底稿!$C$5:$C$171)</f>
        <v>-0.36795918103009</v>
      </c>
      <c r="E6" s="7" t="s">
        <v>466</v>
      </c>
    </row>
    <row r="7" customFormat="false" ht="15" hidden="false" customHeight="false" outlineLevel="0" collapsed="false">
      <c r="A7" s="7" t="s">
        <v>73</v>
      </c>
      <c r="B7" s="8" t="s">
        <v>76</v>
      </c>
      <c r="C7" s="7" t="n">
        <v>138</v>
      </c>
      <c r="D7" s="21" t="n">
        <f aca="false">CORREL(跨国底稿!$H$5:$H$171,跨国底稿!$K$5:$K$171)</f>
        <v>0.44571859352775</v>
      </c>
      <c r="E7" s="7" t="s">
        <v>467</v>
      </c>
    </row>
    <row r="8" customFormat="false" ht="15" hidden="false" customHeight="false" outlineLevel="0" collapsed="false">
      <c r="A8" s="8" t="s">
        <v>468</v>
      </c>
      <c r="B8" s="8" t="s">
        <v>437</v>
      </c>
      <c r="C8" s="7" t="n">
        <v>167</v>
      </c>
      <c r="D8" s="21" t="n">
        <f aca="false">CORREL(跨国底稿!$G$5:$G$171,跨国底稿!$N$5:$N$171)</f>
        <v>-0.84973307465532</v>
      </c>
      <c r="E8" s="7" t="s">
        <v>469</v>
      </c>
    </row>
    <row r="9" customFormat="false" ht="15" hidden="false" customHeight="false" outlineLevel="0" collapsed="false">
      <c r="A9" s="8" t="s">
        <v>468</v>
      </c>
      <c r="B9" s="8" t="s">
        <v>68</v>
      </c>
      <c r="C9" s="7" t="n">
        <v>167</v>
      </c>
      <c r="D9" s="21" t="n">
        <f aca="false">CORREL(跨国底稿!$G$5:$G$171,跨国底稿!$C$5:$C$171)</f>
        <v>-0.715991151103022</v>
      </c>
      <c r="E9" s="7" t="s">
        <v>469</v>
      </c>
    </row>
    <row r="10" customFormat="false" ht="15" hidden="false" customHeight="false" outlineLevel="0" collapsed="false">
      <c r="A10" s="8" t="s">
        <v>468</v>
      </c>
      <c r="B10" s="8" t="s">
        <v>76</v>
      </c>
      <c r="C10" s="7" t="n">
        <v>139</v>
      </c>
      <c r="D10" s="21" t="n">
        <f aca="false">CORREL(跨国底稿!$G$5:$G$171,跨国底稿!$K$5:$K$171)</f>
        <v>0.575204836974626</v>
      </c>
      <c r="E10" s="7" t="s">
        <v>469</v>
      </c>
    </row>
    <row r="11" customFormat="false" ht="15" hidden="false" customHeight="false" outlineLevel="0" collapsed="false">
      <c r="A11" s="7" t="s">
        <v>73</v>
      </c>
      <c r="B11" s="8" t="s">
        <v>468</v>
      </c>
      <c r="C11" s="7" t="n">
        <v>166</v>
      </c>
      <c r="D11" s="21" t="n">
        <f aca="false">CORREL(跨国底稿!$H$5:$H$171,跨国底稿!$G$5:$G$171)</f>
        <v>0.488684496016217</v>
      </c>
      <c r="E11" s="7" t="s">
        <v>470</v>
      </c>
    </row>
  </sheetData>
  <mergeCells count="2">
    <mergeCell ref="A1:Q1"/>
    <mergeCell ref="A2:Q2"/>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359375" defaultRowHeight="15" customHeight="false" zeroHeight="false" outlineLevelRow="0" outlineLevelCol="0"/>
  <cols>
    <col collapsed="false" customWidth="true" hidden="false" outlineLevel="0" max="1" min="1" style="0" width="51.32"/>
    <col collapsed="false" customWidth="true" hidden="false" outlineLevel="0" max="2" min="2" style="0" width="25.07"/>
    <col collapsed="false" customWidth="true" hidden="false" outlineLevel="0" max="4" min="3" style="0" width="10.74"/>
    <col collapsed="false" customWidth="true" hidden="false" outlineLevel="0" max="9" min="5" style="0" width="15.51"/>
    <col collapsed="false" customWidth="true" hidden="false" outlineLevel="0" max="11" min="10" style="0" width="19.1"/>
    <col collapsed="false" customWidth="true" hidden="false" outlineLevel="0" max="13" min="12" style="0" width="14.33"/>
  </cols>
  <sheetData>
    <row r="1" customFormat="false" ht="30" hidden="false" customHeight="true" outlineLevel="0" collapsed="false">
      <c r="A1" s="10" t="s">
        <v>471</v>
      </c>
      <c r="B1" s="10"/>
      <c r="C1" s="10"/>
      <c r="D1" s="10"/>
      <c r="E1" s="10"/>
      <c r="F1" s="10"/>
      <c r="G1" s="10"/>
      <c r="H1" s="10"/>
      <c r="I1" s="10"/>
      <c r="J1" s="10"/>
      <c r="K1" s="10"/>
      <c r="L1" s="10"/>
      <c r="M1" s="10"/>
      <c r="N1" s="10"/>
      <c r="O1" s="10"/>
      <c r="P1" s="10"/>
      <c r="Q1" s="10"/>
    </row>
    <row r="2" customFormat="false" ht="31.5" hidden="false" customHeight="true" outlineLevel="0" collapsed="false">
      <c r="A2" s="24" t="s">
        <v>472</v>
      </c>
      <c r="B2" s="24"/>
      <c r="C2" s="24"/>
      <c r="D2" s="24"/>
      <c r="E2" s="24"/>
      <c r="F2" s="24"/>
      <c r="G2" s="24"/>
      <c r="H2" s="24"/>
      <c r="I2" s="24"/>
      <c r="J2" s="24"/>
      <c r="K2" s="24"/>
      <c r="L2" s="24"/>
      <c r="M2" s="24"/>
      <c r="N2" s="24"/>
      <c r="O2" s="24"/>
      <c r="P2" s="24"/>
      <c r="Q2" s="24"/>
    </row>
    <row r="3" customFormat="false" ht="15" hidden="false" customHeight="false" outlineLevel="0" collapsed="false">
      <c r="A3" s="3"/>
      <c r="B3" s="3"/>
      <c r="C3" s="3"/>
      <c r="D3" s="3"/>
      <c r="E3" s="3"/>
      <c r="F3" s="3"/>
      <c r="G3" s="3"/>
      <c r="H3" s="3"/>
      <c r="I3" s="3"/>
      <c r="J3" s="3"/>
      <c r="K3" s="3"/>
      <c r="L3" s="3"/>
      <c r="M3" s="3"/>
    </row>
    <row r="4" customFormat="false" ht="31.5" hidden="false" customHeight="true" outlineLevel="0" collapsed="false">
      <c r="A4" s="5" t="s">
        <v>473</v>
      </c>
      <c r="B4" s="5" t="s">
        <v>474</v>
      </c>
      <c r="C4" s="11" t="s">
        <v>427</v>
      </c>
      <c r="D4" s="11" t="s">
        <v>475</v>
      </c>
      <c r="E4" s="11" t="s">
        <v>476</v>
      </c>
      <c r="F4" s="5" t="s">
        <v>477</v>
      </c>
      <c r="G4" s="5" t="s">
        <v>478</v>
      </c>
      <c r="H4" s="11" t="s">
        <v>479</v>
      </c>
      <c r="I4" s="11" t="s">
        <v>480</v>
      </c>
      <c r="J4" s="11" t="s">
        <v>481</v>
      </c>
      <c r="K4" s="11" t="s">
        <v>482</v>
      </c>
      <c r="L4" s="11" t="s">
        <v>483</v>
      </c>
      <c r="M4" s="5" t="s">
        <v>484</v>
      </c>
    </row>
    <row r="5" customFormat="false" ht="15" hidden="false" customHeight="false" outlineLevel="0" collapsed="false">
      <c r="A5" s="8" t="s">
        <v>485</v>
      </c>
      <c r="B5" s="8" t="s">
        <v>444</v>
      </c>
      <c r="C5" s="7" t="n">
        <v>166</v>
      </c>
      <c r="D5" s="7" t="n">
        <v>163</v>
      </c>
      <c r="E5" s="25" t="n">
        <v>-0.0530716863597048</v>
      </c>
      <c r="F5" s="25" t="n">
        <v>0.0792016404703873</v>
      </c>
      <c r="G5" s="26" t="n">
        <v>0.503752973282931</v>
      </c>
      <c r="H5" s="25" t="n">
        <v>0.0751811272681229</v>
      </c>
      <c r="I5" s="26" t="n">
        <v>0.481247039048658</v>
      </c>
      <c r="J5" s="25" t="n">
        <v>-0.201526191294864</v>
      </c>
      <c r="K5" s="25" t="n">
        <v>0.0953828185754546</v>
      </c>
      <c r="L5" s="25" t="n">
        <v>0.731169323898604</v>
      </c>
      <c r="M5" s="25" t="n">
        <v>0.727870787995519</v>
      </c>
    </row>
    <row r="6" customFormat="false" ht="15" hidden="false" customHeight="false" outlineLevel="0" collapsed="false">
      <c r="A6" s="8" t="s">
        <v>486</v>
      </c>
      <c r="B6" s="8" t="s">
        <v>444</v>
      </c>
      <c r="C6" s="7" t="n">
        <v>138</v>
      </c>
      <c r="D6" s="7" t="n">
        <v>135</v>
      </c>
      <c r="E6" s="25" t="n">
        <v>4.82729911246282</v>
      </c>
      <c r="F6" s="25" t="n">
        <v>1.67714523570339</v>
      </c>
      <c r="G6" s="26" t="n">
        <v>0.00465021353475013</v>
      </c>
      <c r="H6" s="25" t="n">
        <v>1.9817132798377</v>
      </c>
      <c r="I6" s="26" t="n">
        <v>0.0161577821675935</v>
      </c>
      <c r="J6" s="25" t="n">
        <v>0.908080063257922</v>
      </c>
      <c r="K6" s="25" t="n">
        <v>8.74651816166771</v>
      </c>
      <c r="L6" s="25" t="n">
        <v>0.37260227374845</v>
      </c>
      <c r="M6" s="25" t="n">
        <v>0.363307492618797</v>
      </c>
    </row>
    <row r="7" customFormat="false" ht="15" hidden="false" customHeight="false" outlineLevel="0" collapsed="false">
      <c r="A7" s="3"/>
      <c r="B7" s="3"/>
      <c r="C7" s="3"/>
      <c r="D7" s="3"/>
      <c r="E7" s="27"/>
      <c r="F7" s="27"/>
      <c r="G7" s="28"/>
      <c r="H7" s="27"/>
      <c r="I7" s="28"/>
      <c r="J7" s="27"/>
      <c r="K7" s="27"/>
      <c r="L7" s="27"/>
      <c r="M7" s="27"/>
    </row>
    <row r="8" customFormat="false" ht="15" hidden="false" customHeight="false" outlineLevel="0" collapsed="false">
      <c r="A8" s="29" t="s">
        <v>487</v>
      </c>
      <c r="B8" s="29"/>
      <c r="C8" s="29"/>
      <c r="D8" s="29"/>
      <c r="E8" s="29"/>
      <c r="F8" s="29"/>
      <c r="G8" s="29"/>
      <c r="H8" s="29"/>
      <c r="I8" s="29"/>
      <c r="J8" s="29"/>
      <c r="K8" s="29"/>
      <c r="L8" s="29"/>
      <c r="M8" s="29"/>
    </row>
    <row r="9" customFormat="false" ht="31.5" hidden="false" customHeight="true" outlineLevel="0" collapsed="false">
      <c r="A9" s="5" t="s">
        <v>473</v>
      </c>
      <c r="B9" s="5" t="s">
        <v>488</v>
      </c>
      <c r="C9" s="11" t="s">
        <v>427</v>
      </c>
      <c r="D9" s="11" t="s">
        <v>475</v>
      </c>
      <c r="E9" s="30" t="s">
        <v>476</v>
      </c>
      <c r="F9" s="31" t="s">
        <v>477</v>
      </c>
      <c r="G9" s="32" t="s">
        <v>478</v>
      </c>
      <c r="H9" s="30" t="s">
        <v>479</v>
      </c>
      <c r="I9" s="33" t="s">
        <v>480</v>
      </c>
      <c r="J9" s="30" t="s">
        <v>481</v>
      </c>
      <c r="K9" s="30" t="s">
        <v>482</v>
      </c>
      <c r="L9" s="30" t="s">
        <v>483</v>
      </c>
      <c r="M9" s="31" t="s">
        <v>484</v>
      </c>
    </row>
    <row r="10" customFormat="false" ht="15" hidden="false" customHeight="false" outlineLevel="0" collapsed="false">
      <c r="A10" s="8" t="s">
        <v>485</v>
      </c>
      <c r="B10" s="8" t="s">
        <v>489</v>
      </c>
      <c r="C10" s="7" t="n">
        <v>166</v>
      </c>
      <c r="D10" s="7" t="n">
        <v>163</v>
      </c>
      <c r="E10" s="25" t="n">
        <v>15.2500201122709</v>
      </c>
      <c r="F10" s="25" t="n">
        <v>0.592408105544815</v>
      </c>
      <c r="G10" s="26" t="n">
        <v>2.60464464822768E-059</v>
      </c>
      <c r="H10" s="25" t="n">
        <v>0.528587163746817</v>
      </c>
      <c r="I10" s="26" t="n">
        <v>6.18943047407435E-066</v>
      </c>
      <c r="J10" s="25" t="n">
        <v>14.2062588844131</v>
      </c>
      <c r="K10" s="25" t="n">
        <v>16.2937813401288</v>
      </c>
      <c r="L10" s="25" t="n">
        <v>0.731169323898604</v>
      </c>
      <c r="M10" s="25" t="n">
        <v>0.727870787995519</v>
      </c>
    </row>
    <row r="11" customFormat="false" ht="15" hidden="false" customHeight="false" outlineLevel="0" collapsed="false">
      <c r="A11" s="8" t="s">
        <v>485</v>
      </c>
      <c r="B11" s="8" t="s">
        <v>444</v>
      </c>
      <c r="C11" s="7" t="n">
        <v>166</v>
      </c>
      <c r="D11" s="7" t="n">
        <v>163</v>
      </c>
      <c r="E11" s="25" t="n">
        <v>-0.0530716863597048</v>
      </c>
      <c r="F11" s="25" t="n">
        <v>0.0792016404703873</v>
      </c>
      <c r="G11" s="26" t="n">
        <v>0.503752973282931</v>
      </c>
      <c r="H11" s="25" t="n">
        <v>0.0751811272681229</v>
      </c>
      <c r="I11" s="26" t="n">
        <v>0.481247039048658</v>
      </c>
      <c r="J11" s="25" t="n">
        <v>-0.201526191294864</v>
      </c>
      <c r="K11" s="25" t="n">
        <v>0.0953828185754546</v>
      </c>
      <c r="L11" s="25" t="n">
        <v>0.731169323898604</v>
      </c>
      <c r="M11" s="25" t="n">
        <v>0.727870787995519</v>
      </c>
    </row>
    <row r="12" customFormat="false" ht="15" hidden="false" customHeight="false" outlineLevel="0" collapsed="false">
      <c r="A12" s="8" t="s">
        <v>485</v>
      </c>
      <c r="B12" s="8" t="s">
        <v>442</v>
      </c>
      <c r="C12" s="7" t="n">
        <v>166</v>
      </c>
      <c r="D12" s="7" t="n">
        <v>163</v>
      </c>
      <c r="E12" s="25" t="n">
        <v>-1.20335926025358</v>
      </c>
      <c r="F12" s="25" t="n">
        <v>0.0667300756369925</v>
      </c>
      <c r="G12" s="26" t="n">
        <v>1.13458629195065E-040</v>
      </c>
      <c r="H12" s="25" t="n">
        <v>0.0611431499494947</v>
      </c>
      <c r="I12" s="26" t="n">
        <v>6.3394790506379E-045</v>
      </c>
      <c r="J12" s="25" t="n">
        <v>-1.3240940295469</v>
      </c>
      <c r="K12" s="25" t="n">
        <v>-1.08262449096026</v>
      </c>
      <c r="L12" s="25" t="n">
        <v>0.731169323898604</v>
      </c>
      <c r="M12" s="25" t="n">
        <v>0.727870787995519</v>
      </c>
    </row>
    <row r="13" customFormat="false" ht="15" hidden="false" customHeight="false" outlineLevel="0" collapsed="false">
      <c r="A13" s="8" t="s">
        <v>486</v>
      </c>
      <c r="B13" s="8" t="s">
        <v>489</v>
      </c>
      <c r="C13" s="7" t="n">
        <v>138</v>
      </c>
      <c r="D13" s="7" t="n">
        <v>135</v>
      </c>
      <c r="E13" s="25" t="n">
        <v>-39.6847104239316</v>
      </c>
      <c r="F13" s="25" t="n">
        <v>12.579756681247</v>
      </c>
      <c r="G13" s="26" t="n">
        <v>0.00198128158933469</v>
      </c>
      <c r="H13" s="25" t="n">
        <v>12.8337475022895</v>
      </c>
      <c r="I13" s="26" t="n">
        <v>0.00241433924427258</v>
      </c>
      <c r="J13" s="25" t="n">
        <v>-65.0659137470369</v>
      </c>
      <c r="K13" s="25" t="n">
        <v>-14.3035071008263</v>
      </c>
      <c r="L13" s="25" t="n">
        <v>0.37260227374845</v>
      </c>
      <c r="M13" s="25" t="n">
        <v>0.363307492618797</v>
      </c>
    </row>
    <row r="14" customFormat="false" ht="15" hidden="false" customHeight="false" outlineLevel="0" collapsed="false">
      <c r="A14" s="8" t="s">
        <v>486</v>
      </c>
      <c r="B14" s="8" t="s">
        <v>444</v>
      </c>
      <c r="C14" s="7" t="n">
        <v>138</v>
      </c>
      <c r="D14" s="7" t="n">
        <v>135</v>
      </c>
      <c r="E14" s="25" t="n">
        <v>4.82729911246282</v>
      </c>
      <c r="F14" s="25" t="n">
        <v>1.67714523570339</v>
      </c>
      <c r="G14" s="26" t="n">
        <v>0.00465021353475013</v>
      </c>
      <c r="H14" s="25" t="n">
        <v>1.9817132798377</v>
      </c>
      <c r="I14" s="26" t="n">
        <v>0.0161577821675935</v>
      </c>
      <c r="J14" s="25" t="n">
        <v>0.908080063257922</v>
      </c>
      <c r="K14" s="25" t="n">
        <v>8.74651816166771</v>
      </c>
      <c r="L14" s="25" t="n">
        <v>0.37260227374845</v>
      </c>
      <c r="M14" s="25" t="n">
        <v>0.363307492618797</v>
      </c>
    </row>
    <row r="15" customFormat="false" ht="15" hidden="false" customHeight="false" outlineLevel="0" collapsed="false">
      <c r="A15" s="8" t="s">
        <v>486</v>
      </c>
      <c r="B15" s="8" t="s">
        <v>442</v>
      </c>
      <c r="C15" s="7" t="n">
        <v>138</v>
      </c>
      <c r="D15" s="7" t="n">
        <v>135</v>
      </c>
      <c r="E15" s="25" t="n">
        <v>8.82027671594539</v>
      </c>
      <c r="F15" s="25" t="n">
        <v>1.44175195040604</v>
      </c>
      <c r="G15" s="26" t="n">
        <v>9.62950337463667E-009</v>
      </c>
      <c r="H15" s="25" t="n">
        <v>1.58443643662815</v>
      </c>
      <c r="I15" s="26" t="n">
        <v>1.34778429586931E-007</v>
      </c>
      <c r="J15" s="25" t="n">
        <v>5.68674901147547</v>
      </c>
      <c r="K15" s="25" t="n">
        <v>11.9538044204153</v>
      </c>
      <c r="L15" s="25" t="n">
        <v>0.37260227374845</v>
      </c>
      <c r="M15" s="25" t="n">
        <v>0.363307492618797</v>
      </c>
    </row>
    <row r="16" customFormat="false" ht="15" hidden="false" customHeight="false" outlineLevel="0" collapsed="false">
      <c r="A16" s="3"/>
      <c r="B16" s="3"/>
      <c r="C16" s="3"/>
      <c r="D16" s="3"/>
      <c r="E16" s="27"/>
      <c r="F16" s="27"/>
      <c r="G16" s="28"/>
      <c r="H16" s="27"/>
      <c r="I16" s="28"/>
      <c r="J16" s="27"/>
      <c r="K16" s="27"/>
      <c r="L16" s="27"/>
      <c r="M16" s="27"/>
    </row>
    <row r="17" customFormat="false" ht="15" hidden="false" customHeight="false" outlineLevel="0" collapsed="false">
      <c r="A17" s="3"/>
      <c r="B17" s="3"/>
      <c r="C17" s="3"/>
      <c r="D17" s="3"/>
      <c r="E17" s="27"/>
      <c r="F17" s="27"/>
      <c r="G17" s="28"/>
      <c r="H17" s="27"/>
      <c r="I17" s="28"/>
      <c r="J17" s="27"/>
      <c r="K17" s="27"/>
      <c r="L17" s="27"/>
      <c r="M17" s="27"/>
    </row>
    <row r="18" customFormat="false" ht="15" hidden="false" customHeight="false" outlineLevel="0" collapsed="false">
      <c r="A18" s="3"/>
      <c r="B18" s="3"/>
      <c r="C18" s="3"/>
      <c r="D18" s="3"/>
      <c r="E18" s="27"/>
      <c r="F18" s="27"/>
      <c r="G18" s="28"/>
      <c r="H18" s="27"/>
      <c r="I18" s="28"/>
      <c r="J18" s="27"/>
      <c r="K18" s="27"/>
      <c r="L18" s="27"/>
      <c r="M18" s="27"/>
    </row>
    <row r="19" customFormat="false" ht="15" hidden="false" customHeight="false" outlineLevel="0" collapsed="false">
      <c r="A19" s="3"/>
      <c r="B19" s="3"/>
      <c r="C19" s="3"/>
      <c r="D19" s="3"/>
      <c r="E19" s="27"/>
      <c r="F19" s="27"/>
      <c r="G19" s="28"/>
      <c r="H19" s="27"/>
      <c r="I19" s="28"/>
      <c r="J19" s="27"/>
      <c r="K19" s="27"/>
      <c r="L19" s="27"/>
      <c r="M19" s="27"/>
    </row>
    <row r="20" customFormat="false" ht="15" hidden="false" customHeight="false" outlineLevel="0" collapsed="false">
      <c r="A20" s="3"/>
      <c r="B20" s="3"/>
      <c r="C20" s="3"/>
      <c r="D20" s="3"/>
      <c r="E20" s="27"/>
      <c r="F20" s="27"/>
      <c r="G20" s="28"/>
      <c r="H20" s="27"/>
      <c r="I20" s="28"/>
      <c r="J20" s="27"/>
      <c r="K20" s="27"/>
      <c r="L20" s="27"/>
      <c r="M20" s="27"/>
    </row>
    <row r="21" customFormat="false" ht="15" hidden="false" customHeight="false" outlineLevel="0" collapsed="false">
      <c r="A21" s="3"/>
      <c r="B21" s="3"/>
      <c r="C21" s="3"/>
      <c r="D21" s="3"/>
      <c r="E21" s="27"/>
      <c r="F21" s="27"/>
      <c r="G21" s="28"/>
      <c r="H21" s="27"/>
      <c r="I21" s="28"/>
      <c r="J21" s="27"/>
      <c r="K21" s="27"/>
      <c r="L21" s="27"/>
      <c r="M21" s="27"/>
    </row>
    <row r="22" customFormat="false" ht="15" hidden="false" customHeight="false" outlineLevel="0" collapsed="false">
      <c r="A22" s="3"/>
      <c r="B22" s="3"/>
      <c r="C22" s="3"/>
      <c r="D22" s="3"/>
      <c r="E22" s="27"/>
      <c r="F22" s="27"/>
      <c r="G22" s="28"/>
      <c r="H22" s="27"/>
      <c r="I22" s="28"/>
      <c r="J22" s="27"/>
      <c r="K22" s="27"/>
      <c r="L22" s="27"/>
      <c r="M22" s="27"/>
    </row>
    <row r="23" customFormat="false" ht="15" hidden="false" customHeight="false" outlineLevel="0" collapsed="false">
      <c r="A23" s="3"/>
      <c r="B23" s="3"/>
      <c r="C23" s="3"/>
      <c r="D23" s="3"/>
      <c r="E23" s="27"/>
      <c r="F23" s="27"/>
      <c r="G23" s="28"/>
      <c r="H23" s="27"/>
      <c r="I23" s="28"/>
      <c r="J23" s="27"/>
      <c r="K23" s="27"/>
      <c r="L23" s="27"/>
      <c r="M23" s="27"/>
    </row>
    <row r="24" customFormat="false" ht="15" hidden="false" customHeight="false" outlineLevel="0" collapsed="false">
      <c r="A24" s="3"/>
      <c r="B24" s="3"/>
      <c r="C24" s="3"/>
      <c r="D24" s="3"/>
      <c r="E24" s="27"/>
      <c r="F24" s="27"/>
      <c r="G24" s="28"/>
      <c r="H24" s="27"/>
      <c r="I24" s="28"/>
      <c r="J24" s="27"/>
      <c r="K24" s="27"/>
      <c r="L24" s="27"/>
      <c r="M24" s="27"/>
    </row>
    <row r="25" customFormat="false" ht="15" hidden="false" customHeight="false" outlineLevel="0" collapsed="false">
      <c r="A25" s="3"/>
      <c r="B25" s="3"/>
      <c r="C25" s="3"/>
      <c r="D25" s="3"/>
      <c r="E25" s="27"/>
      <c r="F25" s="27"/>
      <c r="G25" s="28"/>
      <c r="H25" s="27"/>
      <c r="I25" s="28"/>
      <c r="J25" s="27"/>
      <c r="K25" s="27"/>
      <c r="L25" s="27"/>
      <c r="M25" s="27"/>
    </row>
    <row r="26" customFormat="false" ht="15" hidden="false" customHeight="false" outlineLevel="0" collapsed="false">
      <c r="A26" s="3"/>
      <c r="B26" s="3"/>
      <c r="C26" s="3"/>
      <c r="D26" s="3"/>
      <c r="E26" s="27"/>
      <c r="F26" s="27"/>
      <c r="G26" s="28"/>
      <c r="H26" s="27"/>
      <c r="I26" s="28"/>
      <c r="J26" s="27"/>
      <c r="K26" s="27"/>
      <c r="L26" s="27"/>
      <c r="M26" s="27"/>
    </row>
    <row r="27" customFormat="false" ht="15" hidden="false" customHeight="false" outlineLevel="0" collapsed="false">
      <c r="A27" s="3"/>
      <c r="B27" s="3"/>
      <c r="C27" s="3"/>
      <c r="D27" s="3"/>
      <c r="E27" s="27"/>
      <c r="F27" s="27"/>
      <c r="G27" s="28"/>
      <c r="H27" s="27"/>
      <c r="I27" s="28"/>
      <c r="J27" s="27"/>
      <c r="K27" s="27"/>
      <c r="L27" s="27"/>
      <c r="M27" s="27"/>
    </row>
    <row r="28" customFormat="false" ht="15" hidden="false" customHeight="false" outlineLevel="0" collapsed="false">
      <c r="A28" s="3"/>
      <c r="B28" s="3"/>
      <c r="C28" s="3"/>
      <c r="D28" s="3"/>
      <c r="E28" s="27"/>
      <c r="F28" s="27"/>
      <c r="G28" s="28"/>
      <c r="H28" s="27"/>
      <c r="I28" s="28"/>
      <c r="J28" s="27"/>
      <c r="K28" s="27"/>
      <c r="L28" s="27"/>
      <c r="M28" s="27"/>
    </row>
    <row r="29" customFormat="false" ht="15" hidden="false" customHeight="false" outlineLevel="0" collapsed="false">
      <c r="A29" s="3"/>
      <c r="B29" s="3"/>
      <c r="C29" s="3"/>
      <c r="D29" s="3"/>
      <c r="E29" s="27"/>
      <c r="F29" s="27"/>
      <c r="G29" s="28"/>
      <c r="H29" s="27"/>
      <c r="I29" s="28"/>
      <c r="J29" s="27"/>
      <c r="K29" s="27"/>
      <c r="L29" s="27"/>
      <c r="M29" s="27"/>
    </row>
    <row r="30" customFormat="false" ht="15" hidden="false" customHeight="false" outlineLevel="0" collapsed="false">
      <c r="A30" s="3"/>
      <c r="B30" s="3"/>
      <c r="C30" s="3"/>
      <c r="D30" s="3"/>
      <c r="E30" s="27"/>
      <c r="F30" s="27"/>
      <c r="G30" s="28"/>
      <c r="H30" s="27"/>
      <c r="I30" s="28"/>
      <c r="J30" s="27"/>
      <c r="K30" s="27"/>
      <c r="L30" s="27"/>
      <c r="M30" s="27"/>
    </row>
  </sheetData>
  <mergeCells count="3">
    <mergeCell ref="A1:Q1"/>
    <mergeCell ref="A2:Q2"/>
    <mergeCell ref="A8:M8"/>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359375" defaultRowHeight="15" customHeight="false" zeroHeight="false" outlineLevelRow="0" outlineLevelCol="0"/>
  <cols>
    <col collapsed="false" customWidth="true" hidden="false" outlineLevel="0" max="1" min="1" style="0" width="53.71"/>
    <col collapsed="false" customWidth="true" hidden="false" outlineLevel="0" max="2" min="2" style="0" width="23.87"/>
    <col collapsed="false" customWidth="true" hidden="false" outlineLevel="0" max="4" min="3" style="0" width="10.74"/>
    <col collapsed="false" customWidth="true" hidden="false" outlineLevel="0" max="9" min="5" style="0" width="15.51"/>
    <col collapsed="false" customWidth="true" hidden="false" outlineLevel="0" max="11" min="10" style="0" width="19.1"/>
    <col collapsed="false" customWidth="true" hidden="false" outlineLevel="0" max="13" min="12" style="0" width="14.33"/>
  </cols>
  <sheetData>
    <row r="1" customFormat="false" ht="30" hidden="false" customHeight="true" outlineLevel="0" collapsed="false">
      <c r="A1" s="10" t="s">
        <v>490</v>
      </c>
      <c r="B1" s="10"/>
      <c r="C1" s="10"/>
      <c r="D1" s="10"/>
      <c r="E1" s="10"/>
      <c r="F1" s="10"/>
      <c r="G1" s="10"/>
      <c r="H1" s="10"/>
      <c r="I1" s="10"/>
      <c r="J1" s="10"/>
      <c r="K1" s="10"/>
      <c r="L1" s="10"/>
      <c r="M1" s="10"/>
      <c r="N1" s="10"/>
      <c r="O1" s="10"/>
      <c r="P1" s="10"/>
      <c r="Q1" s="10"/>
    </row>
    <row r="2" customFormat="false" ht="31.5" hidden="false" customHeight="true" outlineLevel="0" collapsed="false">
      <c r="A2" s="2" t="s">
        <v>491</v>
      </c>
      <c r="B2" s="2"/>
      <c r="C2" s="2"/>
      <c r="D2" s="2"/>
      <c r="E2" s="2"/>
      <c r="F2" s="2"/>
      <c r="G2" s="2"/>
      <c r="H2" s="2"/>
      <c r="I2" s="2"/>
      <c r="J2" s="2"/>
      <c r="K2" s="2"/>
      <c r="L2" s="2"/>
      <c r="M2" s="2"/>
      <c r="N2" s="2"/>
      <c r="O2" s="2"/>
      <c r="P2" s="2"/>
      <c r="Q2" s="2"/>
    </row>
    <row r="3" customFormat="false" ht="15" hidden="false" customHeight="false" outlineLevel="0" collapsed="false">
      <c r="A3" s="3"/>
      <c r="B3" s="3"/>
      <c r="C3" s="3"/>
      <c r="D3" s="3"/>
      <c r="E3" s="3"/>
      <c r="F3" s="3"/>
      <c r="G3" s="3"/>
      <c r="H3" s="3"/>
      <c r="I3" s="3"/>
      <c r="J3" s="3"/>
      <c r="K3" s="3"/>
      <c r="L3" s="3"/>
      <c r="M3" s="3"/>
    </row>
    <row r="4" customFormat="false" ht="31.5" hidden="false" customHeight="true" outlineLevel="0" collapsed="false">
      <c r="A4" s="5" t="s">
        <v>473</v>
      </c>
      <c r="B4" s="5" t="s">
        <v>474</v>
      </c>
      <c r="C4" s="11" t="s">
        <v>427</v>
      </c>
      <c r="D4" s="11" t="s">
        <v>475</v>
      </c>
      <c r="E4" s="11" t="s">
        <v>476</v>
      </c>
      <c r="F4" s="5" t="s">
        <v>477</v>
      </c>
      <c r="G4" s="5" t="s">
        <v>478</v>
      </c>
      <c r="H4" s="11" t="s">
        <v>479</v>
      </c>
      <c r="I4" s="11" t="s">
        <v>480</v>
      </c>
      <c r="J4" s="11" t="s">
        <v>481</v>
      </c>
      <c r="K4" s="11" t="s">
        <v>482</v>
      </c>
      <c r="L4" s="11" t="s">
        <v>483</v>
      </c>
      <c r="M4" s="5" t="s">
        <v>484</v>
      </c>
    </row>
    <row r="5" customFormat="false" ht="27.75" hidden="false" customHeight="true" outlineLevel="0" collapsed="false">
      <c r="A5" s="8" t="s">
        <v>492</v>
      </c>
      <c r="B5" s="8" t="s">
        <v>444</v>
      </c>
      <c r="C5" s="7" t="n">
        <v>166</v>
      </c>
      <c r="D5" s="7" t="n">
        <v>163</v>
      </c>
      <c r="E5" s="25" t="n">
        <v>-3.48737780912571</v>
      </c>
      <c r="F5" s="25" t="n">
        <v>10.6187820663842</v>
      </c>
      <c r="G5" s="26" t="n">
        <v>0.743018672319162</v>
      </c>
      <c r="H5" s="25" t="n">
        <v>9.24548784563917</v>
      </c>
      <c r="I5" s="26" t="n">
        <v>0.706517243419714</v>
      </c>
      <c r="J5" s="25" t="n">
        <v>-21.7437457419108</v>
      </c>
      <c r="K5" s="25" t="n">
        <v>14.7689901236594</v>
      </c>
      <c r="L5" s="25" t="n">
        <v>0.520379724019499</v>
      </c>
      <c r="M5" s="25" t="n">
        <v>0.514494812657775</v>
      </c>
    </row>
    <row r="6" customFormat="false" ht="27.75" hidden="false" customHeight="true" outlineLevel="0" collapsed="false">
      <c r="A6" s="8" t="s">
        <v>486</v>
      </c>
      <c r="B6" s="8" t="s">
        <v>444</v>
      </c>
      <c r="C6" s="7" t="n">
        <v>138</v>
      </c>
      <c r="D6" s="7" t="n">
        <v>135</v>
      </c>
      <c r="E6" s="25" t="n">
        <v>4.82729911246282</v>
      </c>
      <c r="F6" s="25" t="n">
        <v>1.67714523570339</v>
      </c>
      <c r="G6" s="26" t="n">
        <v>0.00465021353475013</v>
      </c>
      <c r="H6" s="25" t="n">
        <v>1.9817132798377</v>
      </c>
      <c r="I6" s="26" t="n">
        <v>0.0161577821675935</v>
      </c>
      <c r="J6" s="25" t="n">
        <v>0.908080063257922</v>
      </c>
      <c r="K6" s="25" t="n">
        <v>8.74651816166771</v>
      </c>
      <c r="L6" s="25" t="n">
        <v>0.37260227374845</v>
      </c>
      <c r="M6" s="25" t="n">
        <v>0.363307492618797</v>
      </c>
    </row>
    <row r="7" customFormat="false" ht="27.75" hidden="false" customHeight="true" outlineLevel="0" collapsed="false">
      <c r="A7" s="8" t="s">
        <v>493</v>
      </c>
      <c r="B7" s="8" t="s">
        <v>444</v>
      </c>
      <c r="C7" s="7" t="n">
        <v>138</v>
      </c>
      <c r="D7" s="7" t="n">
        <v>134</v>
      </c>
      <c r="E7" s="25" t="n">
        <v>4.80046542253849</v>
      </c>
      <c r="F7" s="25" t="n">
        <v>1.68676213340776</v>
      </c>
      <c r="G7" s="26" t="n">
        <v>0.00512435140390519</v>
      </c>
      <c r="H7" s="25" t="n">
        <v>2.02992007610291</v>
      </c>
      <c r="I7" s="26" t="n">
        <v>0.019471731501285</v>
      </c>
      <c r="J7" s="25" t="n">
        <v>0.785637209198638</v>
      </c>
      <c r="K7" s="25" t="n">
        <v>8.81529363587834</v>
      </c>
      <c r="L7" s="25" t="n">
        <v>0.372870360608736</v>
      </c>
      <c r="M7" s="25" t="n">
        <v>0.358830144801468</v>
      </c>
    </row>
    <row r="8" customFormat="false" ht="27.75" hidden="false" customHeight="true" outlineLevel="0" collapsed="false">
      <c r="A8" s="8" t="s">
        <v>494</v>
      </c>
      <c r="B8" s="8" t="s">
        <v>444</v>
      </c>
      <c r="C8" s="7" t="n">
        <v>109</v>
      </c>
      <c r="D8" s="7" t="n">
        <v>106</v>
      </c>
      <c r="E8" s="25" t="n">
        <v>3.26526459278644</v>
      </c>
      <c r="F8" s="25" t="n">
        <v>2.01526722224022</v>
      </c>
      <c r="G8" s="26" t="n">
        <v>0.108146886672604</v>
      </c>
      <c r="H8" s="25" t="n">
        <v>2.36161134315975</v>
      </c>
      <c r="I8" s="26" t="n">
        <v>0.169680482474575</v>
      </c>
      <c r="J8" s="25" t="n">
        <v>-1.41685958938604</v>
      </c>
      <c r="K8" s="25" t="n">
        <v>7.94738877495893</v>
      </c>
      <c r="L8" s="25" t="n">
        <v>0.342039982335739</v>
      </c>
      <c r="M8" s="25" t="n">
        <v>0.32962564237981</v>
      </c>
    </row>
    <row r="9" customFormat="false" ht="27.75" hidden="false" customHeight="true" outlineLevel="0" collapsed="false">
      <c r="A9" s="8" t="s">
        <v>495</v>
      </c>
      <c r="B9" s="8" t="s">
        <v>496</v>
      </c>
      <c r="C9" s="7" t="n">
        <v>166</v>
      </c>
      <c r="D9" s="7" t="n">
        <v>161</v>
      </c>
      <c r="E9" s="25" t="n">
        <v>0.102561339322058</v>
      </c>
      <c r="F9" s="25" t="n">
        <v>0.209531791579333</v>
      </c>
      <c r="G9" s="26" t="n">
        <v>0.625169092893284</v>
      </c>
      <c r="H9" s="25" t="n">
        <v>0.213535571250111</v>
      </c>
      <c r="I9" s="26" t="n">
        <v>0.631665351957598</v>
      </c>
      <c r="J9" s="25" t="n">
        <v>-0.319130434658048</v>
      </c>
      <c r="K9" s="25" t="n">
        <v>0.524253113302163</v>
      </c>
      <c r="L9" s="25" t="n">
        <v>0.732244481972675</v>
      </c>
      <c r="M9" s="25" t="n">
        <v>0.725592170965785</v>
      </c>
    </row>
    <row r="10" customFormat="false" ht="27.75" hidden="false" customHeight="true" outlineLevel="0" collapsed="false">
      <c r="A10" s="8" t="s">
        <v>495</v>
      </c>
      <c r="B10" s="8" t="s">
        <v>497</v>
      </c>
      <c r="C10" s="7" t="n">
        <v>166</v>
      </c>
      <c r="D10" s="7" t="n">
        <v>161</v>
      </c>
      <c r="E10" s="25" t="n">
        <v>-0.045545153889208</v>
      </c>
      <c r="F10" s="25" t="n">
        <v>0.209175779247133</v>
      </c>
      <c r="G10" s="26" t="n">
        <v>0.827910313939289</v>
      </c>
      <c r="H10" s="25" t="n">
        <v>0.203523282262997</v>
      </c>
      <c r="I10" s="26" t="n">
        <v>0.823209475690555</v>
      </c>
      <c r="J10" s="25" t="n">
        <v>-0.447464578560671</v>
      </c>
      <c r="K10" s="25" t="n">
        <v>0.356374270782255</v>
      </c>
      <c r="L10" s="25" t="n">
        <v>0.732244481972675</v>
      </c>
      <c r="M10" s="25" t="n">
        <v>0.725592170965785</v>
      </c>
    </row>
    <row r="11" customFormat="false" ht="27.75" hidden="false" customHeight="true" outlineLevel="0" collapsed="false">
      <c r="A11" s="8" t="s">
        <v>495</v>
      </c>
      <c r="B11" s="8" t="s">
        <v>498</v>
      </c>
      <c r="C11" s="7" t="n">
        <v>166</v>
      </c>
      <c r="D11" s="7" t="n">
        <v>161</v>
      </c>
      <c r="E11" s="25" t="n">
        <v>-0.11901416233584</v>
      </c>
      <c r="F11" s="25" t="n">
        <v>0.257246842622773</v>
      </c>
      <c r="G11" s="26" t="n">
        <v>0.644242970378598</v>
      </c>
      <c r="H11" s="25" t="n">
        <v>0.240854344348852</v>
      </c>
      <c r="I11" s="26" t="n">
        <v>0.621885514366976</v>
      </c>
      <c r="J11" s="25" t="n">
        <v>-0.594655270487884</v>
      </c>
      <c r="K11" s="25" t="n">
        <v>0.356626945816205</v>
      </c>
      <c r="L11" s="25" t="n">
        <v>0.732244481972675</v>
      </c>
      <c r="M11" s="25" t="n">
        <v>0.725592170965785</v>
      </c>
    </row>
    <row r="12" customFormat="false" ht="27.75" hidden="false" customHeight="true" outlineLevel="0" collapsed="false">
      <c r="A12" s="8" t="s">
        <v>499</v>
      </c>
      <c r="B12" s="8" t="s">
        <v>496</v>
      </c>
      <c r="C12" s="7" t="n">
        <v>138</v>
      </c>
      <c r="D12" s="7" t="n">
        <v>133</v>
      </c>
      <c r="E12" s="25" t="n">
        <v>3.39024290067028</v>
      </c>
      <c r="F12" s="25" t="n">
        <v>4.19492077389552</v>
      </c>
      <c r="G12" s="26" t="n">
        <v>0.420431278638995</v>
      </c>
      <c r="H12" s="25" t="n">
        <v>4.94251364541647</v>
      </c>
      <c r="I12" s="26" t="n">
        <v>0.493948101822062</v>
      </c>
      <c r="J12" s="25" t="n">
        <v>-6.3858576374963</v>
      </c>
      <c r="K12" s="25" t="n">
        <v>13.1663434388369</v>
      </c>
      <c r="L12" s="25" t="n">
        <v>0.375746336609079</v>
      </c>
      <c r="M12" s="25" t="n">
        <v>0.356971790341683</v>
      </c>
    </row>
    <row r="13" customFormat="false" ht="27.75" hidden="false" customHeight="true" outlineLevel="0" collapsed="false">
      <c r="A13" s="8" t="s">
        <v>499</v>
      </c>
      <c r="B13" s="8" t="s">
        <v>497</v>
      </c>
      <c r="C13" s="7" t="n">
        <v>138</v>
      </c>
      <c r="D13" s="7" t="n">
        <v>133</v>
      </c>
      <c r="E13" s="25" t="n">
        <v>10.6130610551515</v>
      </c>
      <c r="F13" s="25" t="n">
        <v>4.25460736563222</v>
      </c>
      <c r="G13" s="26" t="n">
        <v>0.0138390655908439</v>
      </c>
      <c r="H13" s="25" t="n">
        <v>5.12468863090739</v>
      </c>
      <c r="I13" s="26" t="n">
        <v>0.0402953353289495</v>
      </c>
      <c r="J13" s="25" t="n">
        <v>0.476625452386767</v>
      </c>
      <c r="K13" s="25" t="n">
        <v>20.7494966579162</v>
      </c>
      <c r="L13" s="25" t="n">
        <v>0.375746336609079</v>
      </c>
      <c r="M13" s="25" t="n">
        <v>0.356971790341683</v>
      </c>
    </row>
    <row r="14" customFormat="false" ht="27.75" hidden="false" customHeight="true" outlineLevel="0" collapsed="false">
      <c r="A14" s="8" t="s">
        <v>499</v>
      </c>
      <c r="B14" s="8" t="s">
        <v>498</v>
      </c>
      <c r="C14" s="7" t="n">
        <v>138</v>
      </c>
      <c r="D14" s="7" t="n">
        <v>133</v>
      </c>
      <c r="E14" s="25" t="n">
        <v>12.4773920287207</v>
      </c>
      <c r="F14" s="25" t="n">
        <v>5.6393267458602</v>
      </c>
      <c r="G14" s="26" t="n">
        <v>0.0286332952056975</v>
      </c>
      <c r="H14" s="25" t="n">
        <v>6.38251224440496</v>
      </c>
      <c r="I14" s="26" t="n">
        <v>0.0526881212031818</v>
      </c>
      <c r="J14" s="25" t="n">
        <v>-0.146969958675355</v>
      </c>
      <c r="K14" s="25" t="n">
        <v>25.1017540161168</v>
      </c>
      <c r="L14" s="25" t="n">
        <v>0.375746336609079</v>
      </c>
      <c r="M14" s="25" t="n">
        <v>0.356971790341683</v>
      </c>
    </row>
  </sheetData>
  <mergeCells count="2">
    <mergeCell ref="A1:Q1"/>
    <mergeCell ref="A2:Q2"/>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359375" defaultRowHeight="15" customHeight="false" zeroHeight="false" outlineLevelRow="0" outlineLevelCol="0"/>
  <cols>
    <col collapsed="false" customWidth="true" hidden="false" outlineLevel="0" max="1" min="1" style="0" width="50.13"/>
    <col collapsed="false" customWidth="true" hidden="false" outlineLevel="0" max="2" min="2" style="0" width="16.71"/>
    <col collapsed="false" customWidth="true" hidden="false" outlineLevel="0" max="3" min="3" style="0" width="38.19"/>
    <col collapsed="false" customWidth="true" hidden="false" outlineLevel="0" max="4" min="4" style="0" width="22.68"/>
    <col collapsed="false" customWidth="true" hidden="false" outlineLevel="0" max="7" min="5" style="0" width="9.55"/>
    <col collapsed="false" customWidth="true" hidden="false" outlineLevel="0" max="11" min="8" style="0" width="15.51"/>
    <col collapsed="false" customWidth="true" hidden="false" outlineLevel="0" max="13" min="12" style="0" width="16.71"/>
    <col collapsed="false" customWidth="true" hidden="false" outlineLevel="0" max="16" min="14" style="0" width="15.51"/>
    <col collapsed="false" customWidth="true" hidden="false" outlineLevel="0" max="18" min="17" style="0" width="16.71"/>
    <col collapsed="false" customWidth="true" hidden="false" outlineLevel="0" max="20" min="19" style="0" width="14.33"/>
  </cols>
  <sheetData>
    <row r="1" customFormat="false" ht="30" hidden="false" customHeight="true" outlineLevel="0" collapsed="false">
      <c r="A1" s="1" t="s">
        <v>500</v>
      </c>
      <c r="B1" s="1"/>
      <c r="C1" s="1"/>
      <c r="D1" s="1"/>
      <c r="E1" s="1"/>
      <c r="F1" s="1"/>
      <c r="G1" s="1"/>
      <c r="H1" s="1"/>
      <c r="I1" s="1"/>
      <c r="J1" s="1"/>
      <c r="K1" s="1"/>
      <c r="L1" s="1"/>
      <c r="M1" s="1"/>
      <c r="N1" s="1"/>
      <c r="O1" s="1"/>
      <c r="P1" s="1"/>
      <c r="Q1" s="1"/>
      <c r="R1" s="3"/>
      <c r="S1" s="3"/>
      <c r="T1" s="3"/>
    </row>
    <row r="2" customFormat="false" ht="31.5" hidden="false" customHeight="true" outlineLevel="0" collapsed="false">
      <c r="A2" s="2" t="s">
        <v>501</v>
      </c>
      <c r="B2" s="2"/>
      <c r="C2" s="2"/>
      <c r="D2" s="2"/>
      <c r="E2" s="2"/>
      <c r="F2" s="2"/>
      <c r="G2" s="2"/>
      <c r="H2" s="2"/>
      <c r="I2" s="2"/>
      <c r="J2" s="2"/>
      <c r="K2" s="2"/>
      <c r="L2" s="2"/>
      <c r="M2" s="2"/>
      <c r="N2" s="2"/>
      <c r="O2" s="2"/>
      <c r="P2" s="2"/>
      <c r="Q2" s="2"/>
      <c r="R2" s="3"/>
      <c r="S2" s="3"/>
      <c r="T2" s="3"/>
    </row>
    <row r="3" customFormat="false" ht="15" hidden="false" customHeight="false" outlineLevel="0" collapsed="false">
      <c r="A3" s="3"/>
      <c r="B3" s="3"/>
      <c r="C3" s="3"/>
      <c r="D3" s="3"/>
      <c r="E3" s="3"/>
      <c r="F3" s="3"/>
      <c r="G3" s="3"/>
      <c r="H3" s="3"/>
      <c r="I3" s="3"/>
      <c r="J3" s="3"/>
      <c r="K3" s="3"/>
      <c r="L3" s="3"/>
      <c r="M3" s="3"/>
      <c r="N3" s="3"/>
      <c r="O3" s="3"/>
      <c r="P3" s="3"/>
      <c r="Q3" s="3"/>
      <c r="R3" s="3"/>
      <c r="S3" s="3"/>
      <c r="T3" s="3"/>
    </row>
    <row r="4" customFormat="false" ht="42" hidden="false" customHeight="true" outlineLevel="0" collapsed="false">
      <c r="A4" s="5" t="s">
        <v>473</v>
      </c>
      <c r="B4" s="5" t="s">
        <v>502</v>
      </c>
      <c r="C4" s="5" t="s">
        <v>503</v>
      </c>
      <c r="D4" s="5" t="s">
        <v>504</v>
      </c>
      <c r="E4" s="11" t="s">
        <v>427</v>
      </c>
      <c r="F4" s="11" t="s">
        <v>505</v>
      </c>
      <c r="G4" s="11" t="s">
        <v>475</v>
      </c>
      <c r="H4" s="11" t="s">
        <v>476</v>
      </c>
      <c r="I4" s="5" t="s">
        <v>477</v>
      </c>
      <c r="J4" s="5" t="s">
        <v>506</v>
      </c>
      <c r="K4" s="5" t="s">
        <v>478</v>
      </c>
      <c r="L4" s="5" t="s">
        <v>507</v>
      </c>
      <c r="M4" s="5" t="s">
        <v>508</v>
      </c>
      <c r="N4" s="11" t="s">
        <v>479</v>
      </c>
      <c r="O4" s="11" t="s">
        <v>509</v>
      </c>
      <c r="P4" s="11" t="s">
        <v>480</v>
      </c>
      <c r="Q4" s="11" t="s">
        <v>510</v>
      </c>
      <c r="R4" s="11" t="s">
        <v>511</v>
      </c>
      <c r="S4" s="11" t="s">
        <v>483</v>
      </c>
      <c r="T4" s="5" t="s">
        <v>484</v>
      </c>
    </row>
    <row r="5" customFormat="false" ht="15" hidden="false" customHeight="false" outlineLevel="0" collapsed="false">
      <c r="A5" s="8" t="s">
        <v>485</v>
      </c>
      <c r="B5" s="8" t="s">
        <v>438</v>
      </c>
      <c r="C5" s="8" t="s">
        <v>512</v>
      </c>
      <c r="D5" s="8" t="s">
        <v>489</v>
      </c>
      <c r="E5" s="7" t="n">
        <v>166</v>
      </c>
      <c r="F5" s="7" t="n">
        <v>3</v>
      </c>
      <c r="G5" s="7" t="n">
        <v>163</v>
      </c>
      <c r="H5" s="34" t="n">
        <v>15.2500201122709</v>
      </c>
      <c r="I5" s="34" t="n">
        <v>0.592408105544815</v>
      </c>
      <c r="J5" s="34" t="n">
        <v>25.7424231193563</v>
      </c>
      <c r="K5" s="35" t="n">
        <v>2.60464464822768E-059</v>
      </c>
      <c r="L5" s="34" t="n">
        <v>14.0802364814059</v>
      </c>
      <c r="M5" s="34" t="n">
        <v>16.419803743136</v>
      </c>
      <c r="N5" s="34" t="n">
        <v>0.528587163746817</v>
      </c>
      <c r="O5" s="34" t="n">
        <v>28.8505305429161</v>
      </c>
      <c r="P5" s="35" t="n">
        <v>6.18943047407435E-066</v>
      </c>
      <c r="Q5" s="34" t="n">
        <v>14.2062588844131</v>
      </c>
      <c r="R5" s="34" t="n">
        <v>16.2937813401288</v>
      </c>
      <c r="S5" s="34" t="n">
        <v>0.731169323898604</v>
      </c>
      <c r="T5" s="34" t="n">
        <v>0.727870787995519</v>
      </c>
    </row>
    <row r="6" customFormat="false" ht="15" hidden="false" customHeight="false" outlineLevel="0" collapsed="false">
      <c r="A6" s="8" t="s">
        <v>485</v>
      </c>
      <c r="B6" s="8" t="s">
        <v>438</v>
      </c>
      <c r="C6" s="8" t="s">
        <v>512</v>
      </c>
      <c r="D6" s="8" t="s">
        <v>444</v>
      </c>
      <c r="E6" s="7" t="n">
        <v>166</v>
      </c>
      <c r="F6" s="7" t="n">
        <v>3</v>
      </c>
      <c r="G6" s="7" t="n">
        <v>163</v>
      </c>
      <c r="H6" s="34" t="n">
        <v>-0.0530716863597048</v>
      </c>
      <c r="I6" s="34" t="n">
        <v>0.0792016404703873</v>
      </c>
      <c r="J6" s="34" t="n">
        <v>-0.6700831705569</v>
      </c>
      <c r="K6" s="35" t="n">
        <v>0.503752973282931</v>
      </c>
      <c r="L6" s="34" t="n">
        <v>-0.20946519565295</v>
      </c>
      <c r="M6" s="34" t="n">
        <v>0.103321822933541</v>
      </c>
      <c r="N6" s="34" t="n">
        <v>0.0751811272681229</v>
      </c>
      <c r="O6" s="34" t="n">
        <v>-0.705917672269427</v>
      </c>
      <c r="P6" s="35" t="n">
        <v>0.481247039048658</v>
      </c>
      <c r="Q6" s="34" t="n">
        <v>-0.201526191294864</v>
      </c>
      <c r="R6" s="34" t="n">
        <v>0.0953828185754546</v>
      </c>
      <c r="S6" s="34" t="n">
        <v>0.731169323898604</v>
      </c>
      <c r="T6" s="34" t="n">
        <v>0.727870787995519</v>
      </c>
    </row>
    <row r="7" customFormat="false" ht="15" hidden="false" customHeight="false" outlineLevel="0" collapsed="false">
      <c r="A7" s="8" t="s">
        <v>485</v>
      </c>
      <c r="B7" s="8" t="s">
        <v>438</v>
      </c>
      <c r="C7" s="8" t="s">
        <v>512</v>
      </c>
      <c r="D7" s="8" t="s">
        <v>442</v>
      </c>
      <c r="E7" s="7" t="n">
        <v>166</v>
      </c>
      <c r="F7" s="7" t="n">
        <v>3</v>
      </c>
      <c r="G7" s="7" t="n">
        <v>163</v>
      </c>
      <c r="H7" s="34" t="n">
        <v>-1.20335926025358</v>
      </c>
      <c r="I7" s="34" t="n">
        <v>0.0667300756369925</v>
      </c>
      <c r="J7" s="34" t="n">
        <v>-18.033236869081</v>
      </c>
      <c r="K7" s="35" t="n">
        <v>1.13458629195065E-040</v>
      </c>
      <c r="L7" s="34" t="n">
        <v>-1.3351261105649</v>
      </c>
      <c r="M7" s="34" t="n">
        <v>-1.07159240994225</v>
      </c>
      <c r="N7" s="34" t="n">
        <v>0.0611431499494947</v>
      </c>
      <c r="O7" s="34" t="n">
        <v>-19.6810151463831</v>
      </c>
      <c r="P7" s="35" t="n">
        <v>6.3394790506379E-045</v>
      </c>
      <c r="Q7" s="34" t="n">
        <v>-1.3240940295469</v>
      </c>
      <c r="R7" s="34" t="n">
        <v>-1.08262449096026</v>
      </c>
      <c r="S7" s="34" t="n">
        <v>0.731169323898604</v>
      </c>
      <c r="T7" s="34" t="n">
        <v>0.727870787995519</v>
      </c>
    </row>
    <row r="8" customFormat="false" ht="15" hidden="false" customHeight="false" outlineLevel="0" collapsed="false">
      <c r="A8" s="8" t="s">
        <v>492</v>
      </c>
      <c r="B8" s="8" t="s">
        <v>436</v>
      </c>
      <c r="C8" s="8" t="s">
        <v>512</v>
      </c>
      <c r="D8" s="8" t="s">
        <v>489</v>
      </c>
      <c r="E8" s="7" t="n">
        <v>166</v>
      </c>
      <c r="F8" s="7" t="n">
        <v>3</v>
      </c>
      <c r="G8" s="7" t="n">
        <v>163</v>
      </c>
      <c r="H8" s="34" t="n">
        <v>1103.0877205487</v>
      </c>
      <c r="I8" s="34" t="n">
        <v>79.4257862561813</v>
      </c>
      <c r="J8" s="34" t="n">
        <v>13.8882820371558</v>
      </c>
      <c r="K8" s="35" t="n">
        <v>1.93910637910703E-029</v>
      </c>
      <c r="L8" s="34" t="n">
        <v>946.25160746814</v>
      </c>
      <c r="M8" s="34" t="n">
        <v>1259.92383362926</v>
      </c>
      <c r="N8" s="34" t="n">
        <v>98.5944332806585</v>
      </c>
      <c r="O8" s="34" t="n">
        <v>11.1881338919881</v>
      </c>
      <c r="P8" s="35" t="n">
        <v>6.37190340325057E-022</v>
      </c>
      <c r="Q8" s="34" t="n">
        <v>908.400725103116</v>
      </c>
      <c r="R8" s="34" t="n">
        <v>1297.77471599428</v>
      </c>
      <c r="S8" s="34" t="n">
        <v>0.520379724019499</v>
      </c>
      <c r="T8" s="34" t="n">
        <v>0.514494812657775</v>
      </c>
    </row>
    <row r="9" customFormat="false" ht="15" hidden="false" customHeight="false" outlineLevel="0" collapsed="false">
      <c r="A9" s="8" t="s">
        <v>492</v>
      </c>
      <c r="B9" s="8" t="s">
        <v>436</v>
      </c>
      <c r="C9" s="8" t="s">
        <v>512</v>
      </c>
      <c r="D9" s="8" t="s">
        <v>444</v>
      </c>
      <c r="E9" s="7" t="n">
        <v>166</v>
      </c>
      <c r="F9" s="7" t="n">
        <v>3</v>
      </c>
      <c r="G9" s="7" t="n">
        <v>163</v>
      </c>
      <c r="H9" s="34" t="n">
        <v>-3.48737780912571</v>
      </c>
      <c r="I9" s="34" t="n">
        <v>10.6187820663842</v>
      </c>
      <c r="J9" s="34" t="n">
        <v>-0.328415988512061</v>
      </c>
      <c r="K9" s="35" t="n">
        <v>0.743018672319162</v>
      </c>
      <c r="L9" s="34" t="n">
        <v>-24.455486322016</v>
      </c>
      <c r="M9" s="34" t="n">
        <v>17.4807307037645</v>
      </c>
      <c r="N9" s="34" t="n">
        <v>9.24548784563917</v>
      </c>
      <c r="O9" s="34" t="n">
        <v>-0.377197814474506</v>
      </c>
      <c r="P9" s="35" t="n">
        <v>0.706517243419714</v>
      </c>
      <c r="Q9" s="34" t="n">
        <v>-21.7437457419108</v>
      </c>
      <c r="R9" s="34" t="n">
        <v>14.7689901236594</v>
      </c>
      <c r="S9" s="34" t="n">
        <v>0.520379724019499</v>
      </c>
      <c r="T9" s="34" t="n">
        <v>0.514494812657775</v>
      </c>
    </row>
    <row r="10" customFormat="false" ht="15" hidden="false" customHeight="false" outlineLevel="0" collapsed="false">
      <c r="A10" s="8" t="s">
        <v>492</v>
      </c>
      <c r="B10" s="8" t="s">
        <v>436</v>
      </c>
      <c r="C10" s="8" t="s">
        <v>512</v>
      </c>
      <c r="D10" s="8" t="s">
        <v>442</v>
      </c>
      <c r="E10" s="7" t="n">
        <v>166</v>
      </c>
      <c r="F10" s="7" t="n">
        <v>3</v>
      </c>
      <c r="G10" s="7" t="n">
        <v>163</v>
      </c>
      <c r="H10" s="34" t="n">
        <v>-102.336254670823</v>
      </c>
      <c r="I10" s="34" t="n">
        <v>8.94668502134739</v>
      </c>
      <c r="J10" s="34" t="n">
        <v>-11.4384550732078</v>
      </c>
      <c r="K10" s="35" t="n">
        <v>1.28856757322862E-022</v>
      </c>
      <c r="L10" s="34" t="n">
        <v>-120.002599189949</v>
      </c>
      <c r="M10" s="34" t="n">
        <v>-84.6699101516969</v>
      </c>
      <c r="N10" s="34" t="n">
        <v>10.1582103617259</v>
      </c>
      <c r="O10" s="34" t="n">
        <v>-10.0742405430395</v>
      </c>
      <c r="P10" s="35" t="n">
        <v>7.34403212925056E-019</v>
      </c>
      <c r="Q10" s="34" t="n">
        <v>-122.394906955978</v>
      </c>
      <c r="R10" s="34" t="n">
        <v>-82.2776023856686</v>
      </c>
      <c r="S10" s="34" t="n">
        <v>0.520379724019499</v>
      </c>
      <c r="T10" s="34" t="n">
        <v>0.514494812657775</v>
      </c>
    </row>
    <row r="11" customFormat="false" ht="15" hidden="false" customHeight="false" outlineLevel="0" collapsed="false">
      <c r="A11" s="8" t="s">
        <v>486</v>
      </c>
      <c r="B11" s="8" t="s">
        <v>446</v>
      </c>
      <c r="C11" s="8" t="s">
        <v>512</v>
      </c>
      <c r="D11" s="8" t="s">
        <v>489</v>
      </c>
      <c r="E11" s="7" t="n">
        <v>138</v>
      </c>
      <c r="F11" s="7" t="n">
        <v>3</v>
      </c>
      <c r="G11" s="7" t="n">
        <v>135</v>
      </c>
      <c r="H11" s="34" t="n">
        <v>-39.6847104239316</v>
      </c>
      <c r="I11" s="34" t="n">
        <v>12.579756681247</v>
      </c>
      <c r="J11" s="34" t="n">
        <v>-3.154648490387</v>
      </c>
      <c r="K11" s="35" t="n">
        <v>0.00198128158933469</v>
      </c>
      <c r="L11" s="34" t="n">
        <v>-64.5635980617757</v>
      </c>
      <c r="M11" s="34" t="n">
        <v>-14.8058227860875</v>
      </c>
      <c r="N11" s="34" t="n">
        <v>12.8337475022895</v>
      </c>
      <c r="O11" s="34" t="n">
        <v>-3.0922153031959</v>
      </c>
      <c r="P11" s="35" t="n">
        <v>0.00241433924427258</v>
      </c>
      <c r="Q11" s="34" t="n">
        <v>-65.0659137470369</v>
      </c>
      <c r="R11" s="34" t="n">
        <v>-14.3035071008263</v>
      </c>
      <c r="S11" s="34" t="n">
        <v>0.37260227374845</v>
      </c>
      <c r="T11" s="34" t="n">
        <v>0.363307492618797</v>
      </c>
    </row>
    <row r="12" customFormat="false" ht="15" hidden="false" customHeight="false" outlineLevel="0" collapsed="false">
      <c r="A12" s="8" t="s">
        <v>486</v>
      </c>
      <c r="B12" s="8" t="s">
        <v>446</v>
      </c>
      <c r="C12" s="8" t="s">
        <v>512</v>
      </c>
      <c r="D12" s="8" t="s">
        <v>444</v>
      </c>
      <c r="E12" s="7" t="n">
        <v>138</v>
      </c>
      <c r="F12" s="7" t="n">
        <v>3</v>
      </c>
      <c r="G12" s="7" t="n">
        <v>135</v>
      </c>
      <c r="H12" s="34" t="n">
        <v>4.82729911246282</v>
      </c>
      <c r="I12" s="34" t="n">
        <v>1.67714523570339</v>
      </c>
      <c r="J12" s="34" t="n">
        <v>2.87828329335965</v>
      </c>
      <c r="K12" s="35" t="n">
        <v>0.00465021353475013</v>
      </c>
      <c r="L12" s="34" t="n">
        <v>1.5104219320312</v>
      </c>
      <c r="M12" s="34" t="n">
        <v>8.14417629289444</v>
      </c>
      <c r="N12" s="34" t="n">
        <v>1.9817132798377</v>
      </c>
      <c r="O12" s="34" t="n">
        <v>2.4359220688364</v>
      </c>
      <c r="P12" s="35" t="n">
        <v>0.0161577821675935</v>
      </c>
      <c r="Q12" s="34" t="n">
        <v>0.908080063257922</v>
      </c>
      <c r="R12" s="34" t="n">
        <v>8.74651816166771</v>
      </c>
      <c r="S12" s="34" t="n">
        <v>0.37260227374845</v>
      </c>
      <c r="T12" s="34" t="n">
        <v>0.363307492618797</v>
      </c>
    </row>
    <row r="13" customFormat="false" ht="15" hidden="false" customHeight="false" outlineLevel="0" collapsed="false">
      <c r="A13" s="8" t="s">
        <v>486</v>
      </c>
      <c r="B13" s="8" t="s">
        <v>446</v>
      </c>
      <c r="C13" s="8" t="s">
        <v>512</v>
      </c>
      <c r="D13" s="8" t="s">
        <v>442</v>
      </c>
      <c r="E13" s="7" t="n">
        <v>138</v>
      </c>
      <c r="F13" s="7" t="n">
        <v>3</v>
      </c>
      <c r="G13" s="7" t="n">
        <v>135</v>
      </c>
      <c r="H13" s="34" t="n">
        <v>8.82027671594539</v>
      </c>
      <c r="I13" s="34" t="n">
        <v>1.44175195040604</v>
      </c>
      <c r="J13" s="34" t="n">
        <v>6.11774911312681</v>
      </c>
      <c r="K13" s="35" t="n">
        <v>9.62950337463667E-009</v>
      </c>
      <c r="L13" s="34" t="n">
        <v>5.96893501795645</v>
      </c>
      <c r="M13" s="34" t="n">
        <v>11.6716184139343</v>
      </c>
      <c r="N13" s="34" t="n">
        <v>1.58443643662815</v>
      </c>
      <c r="O13" s="34" t="n">
        <v>5.56682269609746</v>
      </c>
      <c r="P13" s="35" t="n">
        <v>1.34778429586931E-007</v>
      </c>
      <c r="Q13" s="34" t="n">
        <v>5.68674901147547</v>
      </c>
      <c r="R13" s="34" t="n">
        <v>11.9538044204153</v>
      </c>
      <c r="S13" s="34" t="n">
        <v>0.37260227374845</v>
      </c>
      <c r="T13" s="34" t="n">
        <v>0.363307492618797</v>
      </c>
    </row>
    <row r="14" customFormat="false" ht="23.85" hidden="false" customHeight="false" outlineLevel="0" collapsed="false">
      <c r="A14" s="8" t="s">
        <v>493</v>
      </c>
      <c r="B14" s="8" t="s">
        <v>446</v>
      </c>
      <c r="C14" s="8" t="s">
        <v>513</v>
      </c>
      <c r="D14" s="8" t="s">
        <v>489</v>
      </c>
      <c r="E14" s="7" t="n">
        <v>138</v>
      </c>
      <c r="F14" s="7" t="n">
        <v>4</v>
      </c>
      <c r="G14" s="7" t="n">
        <v>134</v>
      </c>
      <c r="H14" s="34" t="n">
        <v>-38.7603259964712</v>
      </c>
      <c r="I14" s="34" t="n">
        <v>13.2015207938333</v>
      </c>
      <c r="J14" s="34" t="n">
        <v>-2.93605006588158</v>
      </c>
      <c r="K14" s="35" t="n">
        <v>0.00391353810125405</v>
      </c>
      <c r="L14" s="34" t="n">
        <v>-64.8706338682121</v>
      </c>
      <c r="M14" s="34" t="n">
        <v>-12.6500181247303</v>
      </c>
      <c r="N14" s="34" t="n">
        <v>13.515270261272</v>
      </c>
      <c r="O14" s="34" t="n">
        <v>-2.86789129977954</v>
      </c>
      <c r="P14" s="35" t="n">
        <v>0.00480162325258804</v>
      </c>
      <c r="Q14" s="34" t="n">
        <v>-65.4911756464932</v>
      </c>
      <c r="R14" s="34" t="n">
        <v>-12.0294763464492</v>
      </c>
      <c r="S14" s="34" t="n">
        <v>0.372870360608736</v>
      </c>
      <c r="T14" s="34" t="n">
        <v>0.358830144801468</v>
      </c>
    </row>
    <row r="15" customFormat="false" ht="23.85" hidden="false" customHeight="false" outlineLevel="0" collapsed="false">
      <c r="A15" s="8" t="s">
        <v>493</v>
      </c>
      <c r="B15" s="8" t="s">
        <v>446</v>
      </c>
      <c r="C15" s="8" t="s">
        <v>513</v>
      </c>
      <c r="D15" s="8" t="s">
        <v>444</v>
      </c>
      <c r="E15" s="7" t="n">
        <v>138</v>
      </c>
      <c r="F15" s="7" t="n">
        <v>4</v>
      </c>
      <c r="G15" s="7" t="n">
        <v>134</v>
      </c>
      <c r="H15" s="34" t="n">
        <v>4.80046542253849</v>
      </c>
      <c r="I15" s="34" t="n">
        <v>1.68676213340776</v>
      </c>
      <c r="J15" s="34" t="n">
        <v>2.84596466061288</v>
      </c>
      <c r="K15" s="35" t="n">
        <v>0.00512435140390519</v>
      </c>
      <c r="L15" s="34" t="n">
        <v>1.46434382734742</v>
      </c>
      <c r="M15" s="34" t="n">
        <v>8.13658701772956</v>
      </c>
      <c r="N15" s="34" t="n">
        <v>2.02992007610291</v>
      </c>
      <c r="O15" s="34" t="n">
        <v>2.36485439946707</v>
      </c>
      <c r="P15" s="35" t="n">
        <v>0.019471731501285</v>
      </c>
      <c r="Q15" s="34" t="n">
        <v>0.785637209198638</v>
      </c>
      <c r="R15" s="34" t="n">
        <v>8.81529363587834</v>
      </c>
      <c r="S15" s="34" t="n">
        <v>0.372870360608736</v>
      </c>
      <c r="T15" s="34" t="n">
        <v>0.358830144801468</v>
      </c>
    </row>
    <row r="16" customFormat="false" ht="23.85" hidden="false" customHeight="false" outlineLevel="0" collapsed="false">
      <c r="A16" s="8" t="s">
        <v>493</v>
      </c>
      <c r="B16" s="8" t="s">
        <v>446</v>
      </c>
      <c r="C16" s="8" t="s">
        <v>513</v>
      </c>
      <c r="D16" s="8" t="s">
        <v>442</v>
      </c>
      <c r="E16" s="7" t="n">
        <v>138</v>
      </c>
      <c r="F16" s="7" t="n">
        <v>4</v>
      </c>
      <c r="G16" s="7" t="n">
        <v>134</v>
      </c>
      <c r="H16" s="34" t="n">
        <v>8.72259033432788</v>
      </c>
      <c r="I16" s="34" t="n">
        <v>1.50328129997213</v>
      </c>
      <c r="J16" s="34" t="n">
        <v>5.80236735100051</v>
      </c>
      <c r="K16" s="35" t="n">
        <v>4.48998558001411E-008</v>
      </c>
      <c r="L16" s="34" t="n">
        <v>5.74936185761797</v>
      </c>
      <c r="M16" s="34" t="n">
        <v>11.6958188110378</v>
      </c>
      <c r="N16" s="34" t="n">
        <v>1.63134935678059</v>
      </c>
      <c r="O16" s="34" t="n">
        <v>5.34685614584825</v>
      </c>
      <c r="P16" s="35" t="n">
        <v>3.75051009737265E-007</v>
      </c>
      <c r="Q16" s="34" t="n">
        <v>5.49606555607622</v>
      </c>
      <c r="R16" s="34" t="n">
        <v>11.9491151125795</v>
      </c>
      <c r="S16" s="34" t="n">
        <v>0.372870360608736</v>
      </c>
      <c r="T16" s="34" t="n">
        <v>0.358830144801468</v>
      </c>
    </row>
    <row r="17" customFormat="false" ht="23.85" hidden="false" customHeight="false" outlineLevel="0" collapsed="false">
      <c r="A17" s="8" t="s">
        <v>493</v>
      </c>
      <c r="B17" s="8" t="s">
        <v>446</v>
      </c>
      <c r="C17" s="8" t="s">
        <v>513</v>
      </c>
      <c r="D17" s="8" t="s">
        <v>514</v>
      </c>
      <c r="E17" s="7" t="n">
        <v>138</v>
      </c>
      <c r="F17" s="7" t="n">
        <v>4</v>
      </c>
      <c r="G17" s="7" t="n">
        <v>134</v>
      </c>
      <c r="H17" s="34" t="n">
        <v>-0.10157059787539</v>
      </c>
      <c r="I17" s="34" t="n">
        <v>0.424381563870891</v>
      </c>
      <c r="J17" s="34" t="n">
        <v>-0.239337913148109</v>
      </c>
      <c r="K17" s="35" t="n">
        <v>0.811209258731577</v>
      </c>
      <c r="L17" s="34" t="n">
        <v>-0.94092338614929</v>
      </c>
      <c r="M17" s="34" t="n">
        <v>0.73778219039851</v>
      </c>
      <c r="N17" s="34" t="n">
        <v>0.468549837970239</v>
      </c>
      <c r="O17" s="34" t="n">
        <v>-0.21677650837613</v>
      </c>
      <c r="P17" s="35" t="n">
        <v>0.828712208629565</v>
      </c>
      <c r="Q17" s="34" t="n">
        <v>-1.02828053635248</v>
      </c>
      <c r="R17" s="34" t="n">
        <v>0.825139340601698</v>
      </c>
      <c r="S17" s="34" t="n">
        <v>0.372870360608736</v>
      </c>
      <c r="T17" s="34" t="n">
        <v>0.358830144801468</v>
      </c>
    </row>
    <row r="18" customFormat="false" ht="15" hidden="false" customHeight="false" outlineLevel="0" collapsed="false">
      <c r="A18" s="8" t="s">
        <v>494</v>
      </c>
      <c r="B18" s="8" t="s">
        <v>446</v>
      </c>
      <c r="C18" s="8" t="s">
        <v>512</v>
      </c>
      <c r="D18" s="8" t="s">
        <v>489</v>
      </c>
      <c r="E18" s="7" t="n">
        <v>109</v>
      </c>
      <c r="F18" s="7" t="n">
        <v>3</v>
      </c>
      <c r="G18" s="7" t="n">
        <v>106</v>
      </c>
      <c r="H18" s="34" t="n">
        <v>-44.2843314763873</v>
      </c>
      <c r="I18" s="34" t="n">
        <v>14.4973295025936</v>
      </c>
      <c r="J18" s="34" t="n">
        <v>-3.05465440848708</v>
      </c>
      <c r="K18" s="35" t="n">
        <v>0.00285006273629406</v>
      </c>
      <c r="L18" s="34" t="n">
        <v>-73.0266972503411</v>
      </c>
      <c r="M18" s="34" t="n">
        <v>-15.5419657024334</v>
      </c>
      <c r="N18" s="34" t="n">
        <v>15.1860823735276</v>
      </c>
      <c r="O18" s="34" t="n">
        <v>-2.91611295047258</v>
      </c>
      <c r="P18" s="35" t="n">
        <v>0.00432615330165063</v>
      </c>
      <c r="Q18" s="34" t="n">
        <v>-74.3922168062501</v>
      </c>
      <c r="R18" s="34" t="n">
        <v>-14.1764461465245</v>
      </c>
      <c r="S18" s="34" t="n">
        <v>0.342039982335739</v>
      </c>
      <c r="T18" s="34" t="n">
        <v>0.32962564237981</v>
      </c>
    </row>
    <row r="19" customFormat="false" ht="15" hidden="false" customHeight="false" outlineLevel="0" collapsed="false">
      <c r="A19" s="8" t="s">
        <v>494</v>
      </c>
      <c r="B19" s="8" t="s">
        <v>446</v>
      </c>
      <c r="C19" s="8" t="s">
        <v>512</v>
      </c>
      <c r="D19" s="8" t="s">
        <v>444</v>
      </c>
      <c r="E19" s="7" t="n">
        <v>109</v>
      </c>
      <c r="F19" s="7" t="n">
        <v>3</v>
      </c>
      <c r="G19" s="7" t="n">
        <v>106</v>
      </c>
      <c r="H19" s="34" t="n">
        <v>3.26526459278644</v>
      </c>
      <c r="I19" s="34" t="n">
        <v>2.01526722224022</v>
      </c>
      <c r="J19" s="34" t="n">
        <v>1.62026383238481</v>
      </c>
      <c r="K19" s="35" t="n">
        <v>0.108146886672604</v>
      </c>
      <c r="L19" s="34" t="n">
        <v>-0.730198683641529</v>
      </c>
      <c r="M19" s="34" t="n">
        <v>7.26072786921441</v>
      </c>
      <c r="N19" s="34" t="n">
        <v>2.36161134315975</v>
      </c>
      <c r="O19" s="34" t="n">
        <v>1.3826426614371</v>
      </c>
      <c r="P19" s="35" t="n">
        <v>0.169680482474575</v>
      </c>
      <c r="Q19" s="34" t="n">
        <v>-1.41685958938604</v>
      </c>
      <c r="R19" s="34" t="n">
        <v>7.94738877495893</v>
      </c>
      <c r="S19" s="34" t="n">
        <v>0.342039982335739</v>
      </c>
      <c r="T19" s="34" t="n">
        <v>0.32962564237981</v>
      </c>
    </row>
    <row r="20" customFormat="false" ht="15" hidden="false" customHeight="false" outlineLevel="0" collapsed="false">
      <c r="A20" s="8" t="s">
        <v>494</v>
      </c>
      <c r="B20" s="8" t="s">
        <v>446</v>
      </c>
      <c r="C20" s="8" t="s">
        <v>512</v>
      </c>
      <c r="D20" s="8" t="s">
        <v>442</v>
      </c>
      <c r="E20" s="7" t="n">
        <v>109</v>
      </c>
      <c r="F20" s="7" t="n">
        <v>3</v>
      </c>
      <c r="G20" s="7" t="n">
        <v>106</v>
      </c>
      <c r="H20" s="34" t="n">
        <v>9.54883395187702</v>
      </c>
      <c r="I20" s="34" t="n">
        <v>1.69777655944812</v>
      </c>
      <c r="J20" s="34" t="n">
        <v>5.62431722757497</v>
      </c>
      <c r="K20" s="35" t="n">
        <v>1.52721483317268E-007</v>
      </c>
      <c r="L20" s="34" t="n">
        <v>6.18282679411926</v>
      </c>
      <c r="M20" s="34" t="n">
        <v>12.9148411096348</v>
      </c>
      <c r="N20" s="34" t="n">
        <v>1.89236599636614</v>
      </c>
      <c r="O20" s="34" t="n">
        <v>5.04597629116853</v>
      </c>
      <c r="P20" s="35" t="n">
        <v>1.87993848347878E-006</v>
      </c>
      <c r="Q20" s="34" t="n">
        <v>5.79703430932786</v>
      </c>
      <c r="R20" s="34" t="n">
        <v>13.3006335944262</v>
      </c>
      <c r="S20" s="34" t="n">
        <v>0.342039982335739</v>
      </c>
      <c r="T20" s="34" t="n">
        <v>0.32962564237981</v>
      </c>
    </row>
    <row r="21" customFormat="false" ht="23.85" hidden="false" customHeight="false" outlineLevel="0" collapsed="false">
      <c r="A21" s="8" t="s">
        <v>495</v>
      </c>
      <c r="B21" s="8" t="s">
        <v>438</v>
      </c>
      <c r="C21" s="8" t="s">
        <v>515</v>
      </c>
      <c r="D21" s="8" t="s">
        <v>489</v>
      </c>
      <c r="E21" s="7" t="n">
        <v>166</v>
      </c>
      <c r="F21" s="7" t="n">
        <v>5</v>
      </c>
      <c r="G21" s="7" t="n">
        <v>161</v>
      </c>
      <c r="H21" s="34" t="n">
        <v>15.0563382183518</v>
      </c>
      <c r="I21" s="34" t="n">
        <v>0.666014928846293</v>
      </c>
      <c r="J21" s="34" t="n">
        <v>22.6066076993697</v>
      </c>
      <c r="K21" s="35" t="n">
        <v>7.93757363098833E-052</v>
      </c>
      <c r="L21" s="34" t="n">
        <v>13.7410865476431</v>
      </c>
      <c r="M21" s="34" t="n">
        <v>16.3715898890604</v>
      </c>
      <c r="N21" s="34" t="n">
        <v>0.622178500146909</v>
      </c>
      <c r="O21" s="34" t="n">
        <v>24.199386855696</v>
      </c>
      <c r="P21" s="35" t="n">
        <v>1.64165781038989E-055</v>
      </c>
      <c r="Q21" s="34" t="n">
        <v>13.8276550817519</v>
      </c>
      <c r="R21" s="34" t="n">
        <v>16.2850213549516</v>
      </c>
      <c r="S21" s="34" t="n">
        <v>0.732244481972675</v>
      </c>
      <c r="T21" s="34" t="n">
        <v>0.725592170965785</v>
      </c>
    </row>
    <row r="22" customFormat="false" ht="23.85" hidden="false" customHeight="false" outlineLevel="0" collapsed="false">
      <c r="A22" s="8" t="s">
        <v>495</v>
      </c>
      <c r="B22" s="8" t="s">
        <v>438</v>
      </c>
      <c r="C22" s="8" t="s">
        <v>515</v>
      </c>
      <c r="D22" s="8" t="s">
        <v>496</v>
      </c>
      <c r="E22" s="7" t="n">
        <v>166</v>
      </c>
      <c r="F22" s="7" t="n">
        <v>5</v>
      </c>
      <c r="G22" s="7" t="n">
        <v>161</v>
      </c>
      <c r="H22" s="34" t="n">
        <v>0.102561339322058</v>
      </c>
      <c r="I22" s="34" t="n">
        <v>0.209531791579333</v>
      </c>
      <c r="J22" s="34" t="n">
        <v>0.489478654045802</v>
      </c>
      <c r="K22" s="35" t="n">
        <v>0.625169092893284</v>
      </c>
      <c r="L22" s="34" t="n">
        <v>-0.311223738166632</v>
      </c>
      <c r="M22" s="34" t="n">
        <v>0.516346416810747</v>
      </c>
      <c r="N22" s="34" t="n">
        <v>0.213535571250111</v>
      </c>
      <c r="O22" s="34" t="n">
        <v>0.480300957454666</v>
      </c>
      <c r="P22" s="35" t="n">
        <v>0.631665351957598</v>
      </c>
      <c r="Q22" s="34" t="n">
        <v>-0.319130434658048</v>
      </c>
      <c r="R22" s="34" t="n">
        <v>0.524253113302163</v>
      </c>
      <c r="S22" s="34" t="n">
        <v>0.732244481972675</v>
      </c>
      <c r="T22" s="34" t="n">
        <v>0.725592170965785</v>
      </c>
    </row>
    <row r="23" customFormat="false" ht="23.85" hidden="false" customHeight="false" outlineLevel="0" collapsed="false">
      <c r="A23" s="8" t="s">
        <v>495</v>
      </c>
      <c r="B23" s="8" t="s">
        <v>438</v>
      </c>
      <c r="C23" s="8" t="s">
        <v>515</v>
      </c>
      <c r="D23" s="8" t="s">
        <v>497</v>
      </c>
      <c r="E23" s="7" t="n">
        <v>166</v>
      </c>
      <c r="F23" s="7" t="n">
        <v>5</v>
      </c>
      <c r="G23" s="7" t="n">
        <v>161</v>
      </c>
      <c r="H23" s="34" t="n">
        <v>-0.045545153889208</v>
      </c>
      <c r="I23" s="34" t="n">
        <v>0.209175779247133</v>
      </c>
      <c r="J23" s="34" t="n">
        <v>-0.217736269720779</v>
      </c>
      <c r="K23" s="35" t="n">
        <v>0.827910313939289</v>
      </c>
      <c r="L23" s="34" t="n">
        <v>-0.458627175343508</v>
      </c>
      <c r="M23" s="34" t="n">
        <v>0.367536867565092</v>
      </c>
      <c r="N23" s="34" t="n">
        <v>0.203523282262997</v>
      </c>
      <c r="O23" s="34" t="n">
        <v>-0.223783507138774</v>
      </c>
      <c r="P23" s="35" t="n">
        <v>0.823209475690555</v>
      </c>
      <c r="Q23" s="34" t="n">
        <v>-0.447464578560671</v>
      </c>
      <c r="R23" s="34" t="n">
        <v>0.356374270782255</v>
      </c>
      <c r="S23" s="34" t="n">
        <v>0.732244481972675</v>
      </c>
      <c r="T23" s="34" t="n">
        <v>0.725592170965785</v>
      </c>
    </row>
    <row r="24" customFormat="false" ht="23.85" hidden="false" customHeight="false" outlineLevel="0" collapsed="false">
      <c r="A24" s="8" t="s">
        <v>495</v>
      </c>
      <c r="B24" s="8" t="s">
        <v>438</v>
      </c>
      <c r="C24" s="8" t="s">
        <v>515</v>
      </c>
      <c r="D24" s="8" t="s">
        <v>498</v>
      </c>
      <c r="E24" s="7" t="n">
        <v>166</v>
      </c>
      <c r="F24" s="7" t="n">
        <v>5</v>
      </c>
      <c r="G24" s="7" t="n">
        <v>161</v>
      </c>
      <c r="H24" s="34" t="n">
        <v>-0.11901416233584</v>
      </c>
      <c r="I24" s="34" t="n">
        <v>0.257246842622773</v>
      </c>
      <c r="J24" s="34" t="n">
        <v>-0.462645765143023</v>
      </c>
      <c r="K24" s="35" t="n">
        <v>0.644242970378598</v>
      </c>
      <c r="L24" s="34" t="n">
        <v>-0.627027308723138</v>
      </c>
      <c r="M24" s="34" t="n">
        <v>0.388998984051459</v>
      </c>
      <c r="N24" s="34" t="n">
        <v>0.240854344348852</v>
      </c>
      <c r="O24" s="34" t="n">
        <v>-0.494133342944647</v>
      </c>
      <c r="P24" s="35" t="n">
        <v>0.621885514366976</v>
      </c>
      <c r="Q24" s="34" t="n">
        <v>-0.594655270487884</v>
      </c>
      <c r="R24" s="34" t="n">
        <v>0.356626945816205</v>
      </c>
      <c r="S24" s="34" t="n">
        <v>0.732244481972675</v>
      </c>
      <c r="T24" s="34" t="n">
        <v>0.725592170965785</v>
      </c>
    </row>
    <row r="25" customFormat="false" ht="23.85" hidden="false" customHeight="false" outlineLevel="0" collapsed="false">
      <c r="A25" s="8" t="s">
        <v>495</v>
      </c>
      <c r="B25" s="8" t="s">
        <v>438</v>
      </c>
      <c r="C25" s="8" t="s">
        <v>515</v>
      </c>
      <c r="D25" s="8" t="s">
        <v>442</v>
      </c>
      <c r="E25" s="7" t="n">
        <v>166</v>
      </c>
      <c r="F25" s="7" t="n">
        <v>5</v>
      </c>
      <c r="G25" s="7" t="n">
        <v>161</v>
      </c>
      <c r="H25" s="34" t="n">
        <v>-1.19105926099316</v>
      </c>
      <c r="I25" s="34" t="n">
        <v>0.0705789144751731</v>
      </c>
      <c r="J25" s="34" t="n">
        <v>-16.875567863999</v>
      </c>
      <c r="K25" s="35" t="n">
        <v>1.94340802108229E-037</v>
      </c>
      <c r="L25" s="34" t="n">
        <v>-1.33043907240531</v>
      </c>
      <c r="M25" s="34" t="n">
        <v>-1.05167944958101</v>
      </c>
      <c r="N25" s="34" t="n">
        <v>0.066984499950107</v>
      </c>
      <c r="O25" s="34" t="n">
        <v>-17.7811174507583</v>
      </c>
      <c r="P25" s="35" t="n">
        <v>7.98574291295789E-040</v>
      </c>
      <c r="Q25" s="34" t="n">
        <v>-1.32334079351613</v>
      </c>
      <c r="R25" s="34" t="n">
        <v>-1.0587777284702</v>
      </c>
      <c r="S25" s="34" t="n">
        <v>0.732244481972675</v>
      </c>
      <c r="T25" s="34" t="n">
        <v>0.725592170965785</v>
      </c>
    </row>
    <row r="26" customFormat="false" ht="23.85" hidden="false" customHeight="false" outlineLevel="0" collapsed="false">
      <c r="A26" s="8" t="s">
        <v>499</v>
      </c>
      <c r="B26" s="8" t="s">
        <v>446</v>
      </c>
      <c r="C26" s="8" t="s">
        <v>515</v>
      </c>
      <c r="D26" s="8" t="s">
        <v>489</v>
      </c>
      <c r="E26" s="7" t="n">
        <v>138</v>
      </c>
      <c r="F26" s="7" t="n">
        <v>5</v>
      </c>
      <c r="G26" s="7" t="n">
        <v>133</v>
      </c>
      <c r="H26" s="34" t="n">
        <v>-40.912469920301</v>
      </c>
      <c r="I26" s="34" t="n">
        <v>14.4356481729013</v>
      </c>
      <c r="J26" s="34" t="n">
        <v>-2.83412766993742</v>
      </c>
      <c r="K26" s="35" t="n">
        <v>0.0053122378041652</v>
      </c>
      <c r="L26" s="34" t="n">
        <v>-69.4656228291975</v>
      </c>
      <c r="M26" s="34" t="n">
        <v>-12.3593170114046</v>
      </c>
      <c r="N26" s="34" t="n">
        <v>14.7288415395284</v>
      </c>
      <c r="O26" s="34" t="n">
        <v>-2.77771132308693</v>
      </c>
      <c r="P26" s="35" t="n">
        <v>0.006266026007362</v>
      </c>
      <c r="Q26" s="34" t="n">
        <v>-70.0455479512916</v>
      </c>
      <c r="R26" s="34" t="n">
        <v>-11.7793918893105</v>
      </c>
      <c r="S26" s="34" t="n">
        <v>0.375746336609079</v>
      </c>
      <c r="T26" s="34" t="n">
        <v>0.356971790341683</v>
      </c>
    </row>
    <row r="27" customFormat="false" ht="23.85" hidden="false" customHeight="false" outlineLevel="0" collapsed="false">
      <c r="A27" s="8" t="s">
        <v>499</v>
      </c>
      <c r="B27" s="8" t="s">
        <v>446</v>
      </c>
      <c r="C27" s="8" t="s">
        <v>515</v>
      </c>
      <c r="D27" s="8" t="s">
        <v>496</v>
      </c>
      <c r="E27" s="7" t="n">
        <v>138</v>
      </c>
      <c r="F27" s="7" t="n">
        <v>5</v>
      </c>
      <c r="G27" s="7" t="n">
        <v>133</v>
      </c>
      <c r="H27" s="34" t="n">
        <v>3.39024290067028</v>
      </c>
      <c r="I27" s="34" t="n">
        <v>4.19492077389552</v>
      </c>
      <c r="J27" s="34" t="n">
        <v>0.808178052316827</v>
      </c>
      <c r="K27" s="35" t="n">
        <v>0.420431278638995</v>
      </c>
      <c r="L27" s="34" t="n">
        <v>-4.9071478962732</v>
      </c>
      <c r="M27" s="34" t="n">
        <v>11.6876336976138</v>
      </c>
      <c r="N27" s="34" t="n">
        <v>4.94251364541647</v>
      </c>
      <c r="O27" s="34" t="n">
        <v>0.685934960202747</v>
      </c>
      <c r="P27" s="35" t="n">
        <v>0.493948101822062</v>
      </c>
      <c r="Q27" s="34" t="n">
        <v>-6.3858576374963</v>
      </c>
      <c r="R27" s="34" t="n">
        <v>13.1663434388369</v>
      </c>
      <c r="S27" s="34" t="n">
        <v>0.375746336609079</v>
      </c>
      <c r="T27" s="34" t="n">
        <v>0.356971790341683</v>
      </c>
    </row>
    <row r="28" customFormat="false" ht="23.85" hidden="false" customHeight="false" outlineLevel="0" collapsed="false">
      <c r="A28" s="8" t="s">
        <v>499</v>
      </c>
      <c r="B28" s="8" t="s">
        <v>446</v>
      </c>
      <c r="C28" s="8" t="s">
        <v>515</v>
      </c>
      <c r="D28" s="8" t="s">
        <v>497</v>
      </c>
      <c r="E28" s="7" t="n">
        <v>138</v>
      </c>
      <c r="F28" s="7" t="n">
        <v>5</v>
      </c>
      <c r="G28" s="7" t="n">
        <v>133</v>
      </c>
      <c r="H28" s="34" t="n">
        <v>10.6130610551515</v>
      </c>
      <c r="I28" s="34" t="n">
        <v>4.25460736563222</v>
      </c>
      <c r="J28" s="34" t="n">
        <v>2.49448659843008</v>
      </c>
      <c r="K28" s="35" t="n">
        <v>0.0138390655908439</v>
      </c>
      <c r="L28" s="34" t="n">
        <v>2.19761249176368</v>
      </c>
      <c r="M28" s="34" t="n">
        <v>19.0285096185393</v>
      </c>
      <c r="N28" s="34" t="n">
        <v>5.12468863090739</v>
      </c>
      <c r="O28" s="34" t="n">
        <v>2.07096700297913</v>
      </c>
      <c r="P28" s="35" t="n">
        <v>0.0402953353289495</v>
      </c>
      <c r="Q28" s="34" t="n">
        <v>0.476625452386767</v>
      </c>
      <c r="R28" s="34" t="n">
        <v>20.7494966579162</v>
      </c>
      <c r="S28" s="34" t="n">
        <v>0.375746336609079</v>
      </c>
      <c r="T28" s="34" t="n">
        <v>0.356971790341683</v>
      </c>
    </row>
    <row r="29" customFormat="false" ht="23.85" hidden="false" customHeight="false" outlineLevel="0" collapsed="false">
      <c r="A29" s="8" t="s">
        <v>499</v>
      </c>
      <c r="B29" s="8" t="s">
        <v>446</v>
      </c>
      <c r="C29" s="8" t="s">
        <v>515</v>
      </c>
      <c r="D29" s="8" t="s">
        <v>498</v>
      </c>
      <c r="E29" s="7" t="n">
        <v>138</v>
      </c>
      <c r="F29" s="7" t="n">
        <v>5</v>
      </c>
      <c r="G29" s="7" t="n">
        <v>133</v>
      </c>
      <c r="H29" s="34" t="n">
        <v>12.4773920287207</v>
      </c>
      <c r="I29" s="34" t="n">
        <v>5.6393267458602</v>
      </c>
      <c r="J29" s="34" t="n">
        <v>2.21256766827358</v>
      </c>
      <c r="K29" s="35" t="n">
        <v>0.0286332952056975</v>
      </c>
      <c r="L29" s="34" t="n">
        <v>1.32302216952418</v>
      </c>
      <c r="M29" s="34" t="n">
        <v>23.6317618879173</v>
      </c>
      <c r="N29" s="34" t="n">
        <v>6.38251224440496</v>
      </c>
      <c r="O29" s="34" t="n">
        <v>1.95493428777339</v>
      </c>
      <c r="P29" s="35" t="n">
        <v>0.0526881212031818</v>
      </c>
      <c r="Q29" s="34" t="n">
        <v>-0.146969958675355</v>
      </c>
      <c r="R29" s="34" t="n">
        <v>25.1017540161168</v>
      </c>
      <c r="S29" s="34" t="n">
        <v>0.375746336609079</v>
      </c>
      <c r="T29" s="34" t="n">
        <v>0.356971790341683</v>
      </c>
    </row>
    <row r="30" customFormat="false" ht="23.85" hidden="false" customHeight="false" outlineLevel="0" collapsed="false">
      <c r="A30" s="8" t="s">
        <v>499</v>
      </c>
      <c r="B30" s="8" t="s">
        <v>446</v>
      </c>
      <c r="C30" s="8" t="s">
        <v>515</v>
      </c>
      <c r="D30" s="8" t="s">
        <v>442</v>
      </c>
      <c r="E30" s="7" t="n">
        <v>138</v>
      </c>
      <c r="F30" s="7" t="n">
        <v>5</v>
      </c>
      <c r="G30" s="7" t="n">
        <v>133</v>
      </c>
      <c r="H30" s="34" t="n">
        <v>9.0047824499086</v>
      </c>
      <c r="I30" s="34" t="n">
        <v>1.55958051161373</v>
      </c>
      <c r="J30" s="34" t="n">
        <v>5.77384904649212</v>
      </c>
      <c r="K30" s="35" t="n">
        <v>5.20632529607988E-008</v>
      </c>
      <c r="L30" s="34" t="n">
        <v>5.91999260961341</v>
      </c>
      <c r="M30" s="34" t="n">
        <v>12.0895722902038</v>
      </c>
      <c r="N30" s="34" t="n">
        <v>1.69664677600995</v>
      </c>
      <c r="O30" s="34" t="n">
        <v>5.30739961742975</v>
      </c>
      <c r="P30" s="35" t="n">
        <v>4.52792210874558E-007</v>
      </c>
      <c r="Q30" s="34" t="n">
        <v>5.64888084801594</v>
      </c>
      <c r="R30" s="34" t="n">
        <v>12.3606840518013</v>
      </c>
      <c r="S30" s="34" t="n">
        <v>0.375746336609079</v>
      </c>
      <c r="T30" s="34" t="n">
        <v>0.356971790341683</v>
      </c>
    </row>
    <row r="31" customFormat="false" ht="15" hidden="false" customHeight="false" outlineLevel="0" collapsed="false">
      <c r="A31" s="3"/>
      <c r="B31" s="3"/>
      <c r="C31" s="3"/>
      <c r="D31" s="3"/>
      <c r="E31" s="3"/>
      <c r="F31" s="3"/>
      <c r="G31" s="3"/>
      <c r="H31" s="3"/>
      <c r="I31" s="3"/>
      <c r="J31" s="3"/>
      <c r="K31" s="3"/>
      <c r="L31" s="3"/>
      <c r="M31" s="3"/>
      <c r="N31" s="3"/>
      <c r="O31" s="3"/>
      <c r="P31" s="3"/>
      <c r="Q31" s="3"/>
      <c r="R31" s="3"/>
      <c r="S31" s="3"/>
      <c r="T31" s="3"/>
    </row>
    <row r="32" customFormat="false" ht="15" hidden="false" customHeight="false" outlineLevel="0" collapsed="false">
      <c r="A32" s="3"/>
      <c r="B32" s="3"/>
      <c r="C32" s="3"/>
      <c r="D32" s="3"/>
      <c r="E32" s="3"/>
      <c r="F32" s="3"/>
      <c r="G32" s="3"/>
      <c r="H32" s="3"/>
      <c r="I32" s="3"/>
      <c r="J32" s="3"/>
      <c r="K32" s="3"/>
      <c r="L32" s="3"/>
      <c r="M32" s="3"/>
      <c r="N32" s="3"/>
      <c r="O32" s="3"/>
      <c r="P32" s="3"/>
      <c r="Q32" s="3"/>
      <c r="R32" s="3"/>
      <c r="S32" s="3"/>
      <c r="T32" s="3"/>
    </row>
    <row r="33" customFormat="false" ht="42" hidden="false" customHeight="true" outlineLevel="0" collapsed="false">
      <c r="A33" s="36" t="s">
        <v>516</v>
      </c>
      <c r="B33" s="36"/>
      <c r="C33" s="36"/>
      <c r="D33" s="36"/>
      <c r="E33" s="36"/>
      <c r="F33" s="36"/>
      <c r="G33" s="36"/>
      <c r="H33" s="36"/>
      <c r="I33" s="36"/>
      <c r="J33" s="36"/>
      <c r="K33" s="36"/>
      <c r="L33" s="36"/>
      <c r="M33" s="36"/>
      <c r="N33" s="36"/>
      <c r="O33" s="36"/>
      <c r="P33" s="36"/>
      <c r="Q33" s="36"/>
      <c r="R33" s="36"/>
      <c r="S33" s="36"/>
      <c r="T33" s="36"/>
    </row>
  </sheetData>
  <mergeCells count="3">
    <mergeCell ref="A1:Q1"/>
    <mergeCell ref="A2:Q2"/>
    <mergeCell ref="A33:T33"/>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359375" defaultRowHeight="15" customHeight="false" zeroHeight="false" outlineLevelRow="0" outlineLevelCol="0"/>
  <cols>
    <col collapsed="false" customWidth="true" hidden="false" outlineLevel="0" max="1" min="1" style="0" width="42.97"/>
    <col collapsed="false" customWidth="true" hidden="false" outlineLevel="0" max="2" min="2" style="0" width="50.13"/>
    <col collapsed="false" customWidth="true" hidden="false" outlineLevel="0" max="3" min="3" style="0" width="31.03"/>
    <col collapsed="false" customWidth="true" hidden="false" outlineLevel="0" max="4" min="4" style="0" width="33.42"/>
    <col collapsed="false" customWidth="true" hidden="false" outlineLevel="0" max="5" min="5" style="0" width="13.13"/>
    <col collapsed="false" customWidth="true" hidden="false" outlineLevel="0" max="7" min="6" style="0" width="11.94"/>
    <col collapsed="false" customWidth="true" hidden="false" outlineLevel="0" max="8" min="8" style="0" width="74"/>
    <col collapsed="false" customWidth="true" hidden="false" outlineLevel="0" max="9" min="9" style="0" width="57.29"/>
    <col collapsed="false" customWidth="true" hidden="false" outlineLevel="0" max="10" min="10" style="0" width="40.58"/>
    <col collapsed="false" customWidth="true" hidden="false" outlineLevel="0" max="11" min="11" style="0" width="71.62"/>
    <col collapsed="false" customWidth="true" hidden="false" outlineLevel="0" max="12" min="12" style="0" width="105.03"/>
    <col collapsed="false" customWidth="true" hidden="false" outlineLevel="0" max="13" min="13" style="0" width="74"/>
  </cols>
  <sheetData>
    <row r="1" customFormat="false" ht="30" hidden="false" customHeight="true" outlineLevel="0" collapsed="false">
      <c r="A1" s="1" t="s">
        <v>517</v>
      </c>
      <c r="B1" s="1"/>
      <c r="C1" s="1"/>
      <c r="D1" s="1"/>
      <c r="E1" s="1"/>
      <c r="F1" s="1"/>
      <c r="G1" s="1"/>
      <c r="H1" s="1"/>
      <c r="I1" s="1"/>
      <c r="J1" s="1"/>
      <c r="K1" s="1"/>
      <c r="L1" s="1"/>
      <c r="M1" s="1"/>
      <c r="N1" s="1"/>
      <c r="O1" s="1"/>
      <c r="P1" s="1"/>
      <c r="Q1" s="1"/>
    </row>
    <row r="2" customFormat="false" ht="31.5" hidden="false" customHeight="true" outlineLevel="0" collapsed="false">
      <c r="A2" s="2" t="s">
        <v>518</v>
      </c>
      <c r="B2" s="2"/>
      <c r="C2" s="2"/>
      <c r="D2" s="2"/>
      <c r="E2" s="2"/>
      <c r="F2" s="2"/>
      <c r="G2" s="2"/>
      <c r="H2" s="2"/>
      <c r="I2" s="2"/>
      <c r="J2" s="2"/>
      <c r="K2" s="2"/>
      <c r="L2" s="2"/>
      <c r="M2" s="2"/>
      <c r="N2" s="2"/>
      <c r="O2" s="2"/>
      <c r="P2" s="2"/>
      <c r="Q2" s="2"/>
    </row>
    <row r="3" customFormat="false" ht="15" hidden="false" customHeight="false" outlineLevel="0" collapsed="false">
      <c r="A3" s="3"/>
      <c r="B3" s="3"/>
      <c r="C3" s="3"/>
      <c r="D3" s="3"/>
      <c r="E3" s="3"/>
      <c r="F3" s="3"/>
      <c r="G3" s="3"/>
      <c r="H3" s="3"/>
      <c r="I3" s="3"/>
      <c r="J3" s="3"/>
      <c r="K3" s="3"/>
      <c r="L3" s="3"/>
      <c r="M3" s="3"/>
    </row>
    <row r="4" customFormat="false" ht="45.75" hidden="false" customHeight="true" outlineLevel="0" collapsed="false">
      <c r="A4" s="5" t="s">
        <v>519</v>
      </c>
      <c r="B4" s="5" t="s">
        <v>520</v>
      </c>
      <c r="C4" s="5" t="s">
        <v>521</v>
      </c>
      <c r="D4" s="5" t="s">
        <v>522</v>
      </c>
      <c r="E4" s="5" t="s">
        <v>523</v>
      </c>
      <c r="F4" s="5" t="s">
        <v>524</v>
      </c>
      <c r="G4" s="5" t="s">
        <v>525</v>
      </c>
      <c r="H4" s="5" t="s">
        <v>526</v>
      </c>
      <c r="I4" s="5" t="s">
        <v>527</v>
      </c>
      <c r="J4" s="5" t="s">
        <v>528</v>
      </c>
      <c r="K4" s="5" t="s">
        <v>529</v>
      </c>
      <c r="L4" s="5" t="s">
        <v>530</v>
      </c>
      <c r="M4" s="5" t="s">
        <v>531</v>
      </c>
    </row>
    <row r="5" customFormat="false" ht="108" hidden="false" customHeight="true" outlineLevel="0" collapsed="false">
      <c r="A5" s="8" t="s">
        <v>532</v>
      </c>
      <c r="B5" s="8" t="s">
        <v>533</v>
      </c>
      <c r="C5" s="8" t="s">
        <v>534</v>
      </c>
      <c r="D5" s="8" t="s">
        <v>535</v>
      </c>
      <c r="E5" s="7" t="n">
        <v>25</v>
      </c>
      <c r="F5" s="7" t="n">
        <v>18</v>
      </c>
      <c r="G5" s="7" t="n">
        <v>25</v>
      </c>
      <c r="H5" s="8" t="s">
        <v>536</v>
      </c>
      <c r="I5" s="8" t="s">
        <v>537</v>
      </c>
      <c r="J5" s="8" t="s">
        <v>538</v>
      </c>
      <c r="K5" s="8" t="s">
        <v>539</v>
      </c>
      <c r="L5" s="12" t="s">
        <v>540</v>
      </c>
      <c r="M5" s="8" t="s">
        <v>541</v>
      </c>
    </row>
    <row r="6" customFormat="false" ht="108" hidden="false" customHeight="true" outlineLevel="0" collapsed="false">
      <c r="A6" s="8" t="s">
        <v>542</v>
      </c>
      <c r="B6" s="8" t="s">
        <v>543</v>
      </c>
      <c r="C6" s="8" t="s">
        <v>544</v>
      </c>
      <c r="D6" s="8" t="s">
        <v>545</v>
      </c>
      <c r="E6" s="7" t="n">
        <v>24</v>
      </c>
      <c r="F6" s="7" t="n">
        <v>19</v>
      </c>
      <c r="G6" s="7" t="n">
        <v>24</v>
      </c>
      <c r="H6" s="8" t="s">
        <v>546</v>
      </c>
      <c r="I6" s="8" t="s">
        <v>547</v>
      </c>
      <c r="J6" s="8" t="s">
        <v>548</v>
      </c>
      <c r="K6" s="8" t="s">
        <v>549</v>
      </c>
      <c r="L6" s="12" t="s">
        <v>550</v>
      </c>
      <c r="M6" s="8" t="s">
        <v>551</v>
      </c>
    </row>
    <row r="7" customFormat="false" ht="108" hidden="false" customHeight="true" outlineLevel="0" collapsed="false">
      <c r="A7" s="8" t="s">
        <v>552</v>
      </c>
      <c r="B7" s="8" t="s">
        <v>553</v>
      </c>
      <c r="C7" s="8" t="s">
        <v>554</v>
      </c>
      <c r="D7" s="8" t="s">
        <v>555</v>
      </c>
      <c r="E7" s="7"/>
      <c r="F7" s="7"/>
      <c r="G7" s="7"/>
      <c r="H7" s="8" t="s">
        <v>556</v>
      </c>
      <c r="I7" s="8" t="s">
        <v>557</v>
      </c>
      <c r="J7" s="8" t="s">
        <v>558</v>
      </c>
      <c r="K7" s="8" t="s">
        <v>559</v>
      </c>
      <c r="L7" s="12" t="s">
        <v>560</v>
      </c>
      <c r="M7" s="8" t="s">
        <v>561</v>
      </c>
    </row>
    <row r="8" customFormat="false" ht="108" hidden="false" customHeight="true" outlineLevel="0" collapsed="false">
      <c r="A8" s="8" t="s">
        <v>562</v>
      </c>
      <c r="B8" s="8" t="s">
        <v>563</v>
      </c>
      <c r="C8" s="8" t="s">
        <v>554</v>
      </c>
      <c r="D8" s="8" t="s">
        <v>555</v>
      </c>
      <c r="E8" s="7"/>
      <c r="F8" s="7"/>
      <c r="G8" s="7"/>
      <c r="H8" s="8" t="s">
        <v>564</v>
      </c>
      <c r="I8" s="8" t="s">
        <v>565</v>
      </c>
      <c r="J8" s="8" t="s">
        <v>558</v>
      </c>
      <c r="K8" s="8" t="s">
        <v>559</v>
      </c>
      <c r="L8" s="12" t="s">
        <v>566</v>
      </c>
      <c r="M8" s="8" t="s">
        <v>567</v>
      </c>
    </row>
  </sheetData>
  <mergeCells count="2">
    <mergeCell ref="A1:Q1"/>
    <mergeCell ref="A2:Q2"/>
  </mergeCells>
  <hyperlinks>
    <hyperlink ref="L5" r:id="rId1" display="https://www.mozillafoundation.org/en/blog/in-post-roe-v-wade-era-mozilla-labels-18-of-25-popular-period-and-pregnancy-tracking-tech-with-privacy-not-included-warning/"/>
    <hyperlink ref="L6" r:id="rId2" display="https://www.bmj.com/content/364/bmj.l920"/>
    <hyperlink ref="L7" r:id="rId3" display="https://www.ftc.gov/news-events/news/press-releases/2021/06/ftc-finalizes-order-flo-health-fertility-tracking-app-shared-sensitive-health-data-facebook-google"/>
    <hyperlink ref="L8" r:id="rId4" display="https://www.ftc.gov/news-events/news/press-releases/2023/05/ovulation-tracking-app-premom-will-be-barred-sharing-health-data-advertising-under-proposed-ftc"/>
  </hyperlink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5"/>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359375" defaultRowHeight="15" customHeight="false" zeroHeight="false" outlineLevelRow="0" outlineLevelCol="0"/>
  <cols>
    <col collapsed="false" customWidth="true" hidden="false" outlineLevel="0" max="1" min="1" style="0" width="45.35"/>
    <col collapsed="false" customWidth="true" hidden="false" outlineLevel="0" max="2" min="2" style="0" width="21.48"/>
    <col collapsed="false" customWidth="true" hidden="false" outlineLevel="0" max="3" min="3" style="0" width="83.55"/>
  </cols>
  <sheetData>
    <row r="1" customFormat="false" ht="30" hidden="false" customHeight="true" outlineLevel="0" collapsed="false">
      <c r="A1" s="10" t="s">
        <v>568</v>
      </c>
      <c r="B1" s="10"/>
      <c r="C1" s="10"/>
      <c r="D1" s="10"/>
      <c r="E1" s="10"/>
      <c r="F1" s="10"/>
      <c r="G1" s="10"/>
      <c r="H1" s="10"/>
      <c r="I1" s="10"/>
      <c r="J1" s="10"/>
      <c r="K1" s="10"/>
      <c r="L1" s="10"/>
      <c r="M1" s="10"/>
      <c r="N1" s="10"/>
      <c r="O1" s="10"/>
      <c r="P1" s="10"/>
      <c r="Q1" s="10"/>
    </row>
    <row r="2" customFormat="false" ht="31.5" hidden="false" customHeight="true" outlineLevel="0" collapsed="false">
      <c r="A2" s="2" t="s">
        <v>569</v>
      </c>
      <c r="B2" s="2"/>
      <c r="C2" s="2"/>
      <c r="D2" s="2"/>
      <c r="E2" s="2"/>
      <c r="F2" s="2"/>
      <c r="G2" s="2"/>
      <c r="H2" s="2"/>
      <c r="I2" s="2"/>
      <c r="J2" s="2"/>
      <c r="K2" s="2"/>
      <c r="L2" s="2"/>
      <c r="M2" s="2"/>
      <c r="N2" s="2"/>
      <c r="O2" s="2"/>
      <c r="P2" s="2"/>
      <c r="Q2" s="2"/>
    </row>
    <row r="3" customFormat="false" ht="15" hidden="false" customHeight="false" outlineLevel="0" collapsed="false">
      <c r="A3" s="3"/>
      <c r="B3" s="3"/>
      <c r="C3" s="3"/>
    </row>
    <row r="4" customFormat="false" ht="31.5" hidden="false" customHeight="true" outlineLevel="0" collapsed="false">
      <c r="A4" s="5" t="s">
        <v>570</v>
      </c>
      <c r="B4" s="5" t="s">
        <v>571</v>
      </c>
      <c r="C4" s="5" t="s">
        <v>572</v>
      </c>
    </row>
    <row r="5" customFormat="false" ht="15" hidden="false" customHeight="false" outlineLevel="0" collapsed="false">
      <c r="A5" s="7" t="s">
        <v>573</v>
      </c>
      <c r="B5" s="37" t="str">
        <f aca="false">IF(COUNTA(跨国底稿!$A$5:$A$171)=167,"PASS","FAIL")</f>
        <v>PASS</v>
      </c>
      <c r="C5" s="7" t="s">
        <v>574</v>
      </c>
    </row>
    <row r="6" customFormat="false" ht="15" hidden="false" customHeight="false" outlineLevel="0" collapsed="false">
      <c r="A6" s="8" t="s">
        <v>575</v>
      </c>
      <c r="B6" s="37" t="str">
        <f aca="false">IF(COUNT(跨国底稿!$C$5:$C$171)=167,"PASS","FAIL")</f>
        <v>PASS</v>
      </c>
      <c r="C6" s="8" t="s">
        <v>576</v>
      </c>
    </row>
    <row r="7" customFormat="false" ht="15" hidden="false" customHeight="false" outlineLevel="0" collapsed="false">
      <c r="A7" s="7" t="s">
        <v>577</v>
      </c>
      <c r="B7" s="37" t="str">
        <f aca="false">IF(COUNT(跨国底稿!$H$5:$H$171)=166,"PASS","FAIL")</f>
        <v>PASS</v>
      </c>
      <c r="C7" s="8" t="s">
        <v>578</v>
      </c>
    </row>
    <row r="8" customFormat="false" ht="15" hidden="false" customHeight="false" outlineLevel="0" collapsed="false">
      <c r="A8" s="7" t="s">
        <v>579</v>
      </c>
      <c r="B8" s="37" t="str">
        <f aca="false">IF(COUNTIF(跨国底稿!$H$5:$H$171,"&lt;0")+COUNTIF(跨国底稿!$H$5:$H$171,"&gt;3")=0,"PASS","FAIL")</f>
        <v>PASS</v>
      </c>
      <c r="C8" s="7" t="s">
        <v>580</v>
      </c>
    </row>
    <row r="9" customFormat="false" ht="15" hidden="false" customHeight="false" outlineLevel="0" collapsed="false">
      <c r="A9" s="8" t="s">
        <v>581</v>
      </c>
      <c r="B9" s="37" t="str">
        <f aca="false">IF(COUNT(跨国底稿!$K$5:$K$171)=139,"PASS","FAIL")</f>
        <v>PASS</v>
      </c>
      <c r="C9" s="7" t="s">
        <v>582</v>
      </c>
    </row>
    <row r="10" customFormat="false" ht="15" hidden="false" customHeight="false" outlineLevel="0" collapsed="false">
      <c r="A10" s="8" t="s">
        <v>583</v>
      </c>
      <c r="B10" s="37" t="str">
        <f aca="false">IF(COUNTIFS(跨国底稿!$K$5:$K$171,"&lt;&gt;",跨国底稿!$H$5:$H$171,"&lt;&gt;")=138,"PASS","FAIL")</f>
        <v>PASS</v>
      </c>
      <c r="C10" s="8" t="s">
        <v>584</v>
      </c>
    </row>
    <row r="11" customFormat="false" ht="15" hidden="false" customHeight="false" outlineLevel="0" collapsed="false">
      <c r="A11" s="8" t="s">
        <v>585</v>
      </c>
      <c r="B11" s="37" t="str">
        <f aca="false">IF(COUNTIF(跨国底稿!$M$5:$M$171,"Missing")=28,"PASS","FAIL")</f>
        <v>PASS</v>
      </c>
      <c r="C11" s="7" t="s">
        <v>586</v>
      </c>
    </row>
    <row r="12" customFormat="false" ht="15" hidden="false" customHeight="false" outlineLevel="0" collapsed="false">
      <c r="A12" s="8" t="s">
        <v>587</v>
      </c>
      <c r="B12" s="37" t="str">
        <f aca="false">IF(AND(MIN(跨国底稿!$L$5:$L$171)&gt;=2010,MAX(跨国底稿!$L$5:$L$171)&lt;=2023),"PASS","FAIL")</f>
        <v>PASS</v>
      </c>
      <c r="C12" s="7" t="s">
        <v>588</v>
      </c>
    </row>
    <row r="13" customFormat="false" ht="15" hidden="false" customHeight="false" outlineLevel="0" collapsed="false">
      <c r="A13" s="7" t="s">
        <v>589</v>
      </c>
      <c r="B13" s="37" t="str">
        <f aca="false">IF(SUMPRODUCT(--ISERROR(跨国底稿!$G$5:$G$171))+SUMPRODUCT(--ISERROR(跨国底稿!$M$5:$N$171))=0,"PASS","FAIL")</f>
        <v>PASS</v>
      </c>
      <c r="C13" s="7" t="s">
        <v>590</v>
      </c>
    </row>
  </sheetData>
  <mergeCells count="2">
    <mergeCell ref="A1:Q1"/>
    <mergeCell ref="A2:Q2"/>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359375" defaultRowHeight="15" customHeight="false" zeroHeight="false" outlineLevelRow="0" outlineLevelCol="0"/>
  <cols>
    <col collapsed="false" customWidth="true" hidden="false" outlineLevel="0" max="1" min="1" style="0" width="140.84"/>
  </cols>
  <sheetData>
    <row r="1" customFormat="false" ht="16.15" hidden="false" customHeight="false" outlineLevel="0" collapsed="false">
      <c r="A1" s="38" t="s">
        <v>591</v>
      </c>
    </row>
    <row r="2" customFormat="false" ht="33.75" hidden="false" customHeight="true" outlineLevel="0" collapsed="false">
      <c r="A2" s="13" t="s">
        <v>592</v>
      </c>
      <c r="B2" s="13"/>
      <c r="C2" s="13"/>
      <c r="D2" s="13"/>
      <c r="E2" s="13"/>
      <c r="F2" s="13"/>
      <c r="G2" s="13"/>
      <c r="H2" s="13"/>
    </row>
    <row r="4" customFormat="false" ht="15" hidden="false" customHeight="false" outlineLevel="0" collapsed="false">
      <c r="A4" s="39" t="s">
        <v>593</v>
      </c>
    </row>
    <row r="5" customFormat="false" ht="15" hidden="false" customHeight="false" outlineLevel="0" collapsed="false">
      <c r="A5" s="39" t="s">
        <v>594</v>
      </c>
    </row>
    <row r="6" customFormat="false" ht="15" hidden="false" customHeight="false" outlineLevel="0" collapsed="false">
      <c r="A6" s="39" t="s">
        <v>595</v>
      </c>
    </row>
    <row r="7" customFormat="false" ht="15" hidden="false" customHeight="false" outlineLevel="0" collapsed="false">
      <c r="A7" s="39" t="s">
        <v>596</v>
      </c>
    </row>
    <row r="8" customFormat="false" ht="15" hidden="false" customHeight="false" outlineLevel="0" collapsed="false">
      <c r="A8" s="39" t="s">
        <v>597</v>
      </c>
    </row>
    <row r="9" customFormat="false" ht="15" hidden="false" customHeight="false" outlineLevel="0" collapsed="false">
      <c r="A9" s="39" t="s">
        <v>598</v>
      </c>
    </row>
    <row r="10" customFormat="false" ht="15" hidden="false" customHeight="false" outlineLevel="0" collapsed="false">
      <c r="A10" s="39" t="s">
        <v>599</v>
      </c>
    </row>
    <row r="11" customFormat="false" ht="15" hidden="false" customHeight="false" outlineLevel="0" collapsed="false">
      <c r="A11" s="39" t="s">
        <v>600</v>
      </c>
    </row>
    <row r="12" customFormat="false" ht="15" hidden="false" customHeight="false" outlineLevel="0" collapsed="false">
      <c r="A12" s="39" t="s">
        <v>601</v>
      </c>
    </row>
    <row r="13" customFormat="false" ht="15" hidden="false" customHeight="false" outlineLevel="0" collapsed="false">
      <c r="A13" s="39" t="s">
        <v>602</v>
      </c>
    </row>
    <row r="14" customFormat="false" ht="15" hidden="false" customHeight="false" outlineLevel="0" collapsed="false">
      <c r="A14" s="39" t="s">
        <v>603</v>
      </c>
    </row>
    <row r="15" customFormat="false" ht="15" hidden="false" customHeight="false" outlineLevel="0" collapsed="false">
      <c r="A15" s="39" t="s">
        <v>604</v>
      </c>
    </row>
    <row r="16" customFormat="false" ht="15" hidden="false" customHeight="false" outlineLevel="0" collapsed="false">
      <c r="A16" s="39" t="s">
        <v>605</v>
      </c>
    </row>
    <row r="17" customFormat="false" ht="15" hidden="false" customHeight="false" outlineLevel="0" collapsed="false">
      <c r="A17" s="39" t="s">
        <v>606</v>
      </c>
    </row>
    <row r="18" customFormat="false" ht="15" hidden="false" customHeight="false" outlineLevel="0" collapsed="false">
      <c r="A18" s="39" t="s">
        <v>607</v>
      </c>
    </row>
    <row r="19" customFormat="false" ht="15" hidden="false" customHeight="false" outlineLevel="0" collapsed="false">
      <c r="A19" s="39" t="s">
        <v>608</v>
      </c>
    </row>
    <row r="20" customFormat="false" ht="15" hidden="false" customHeight="false" outlineLevel="0" collapsed="false">
      <c r="A20" s="39" t="s">
        <v>609</v>
      </c>
    </row>
    <row r="21" customFormat="false" ht="15" hidden="false" customHeight="false" outlineLevel="0" collapsed="false">
      <c r="A21" s="39" t="s">
        <v>610</v>
      </c>
    </row>
    <row r="22" customFormat="false" ht="15" hidden="false" customHeight="false" outlineLevel="0" collapsed="false">
      <c r="A22" s="39"/>
    </row>
    <row r="23" customFormat="false" ht="15" hidden="false" customHeight="false" outlineLevel="0" collapsed="false">
      <c r="A23" s="39" t="s">
        <v>611</v>
      </c>
    </row>
    <row r="24" customFormat="false" ht="15" hidden="false" customHeight="false" outlineLevel="0" collapsed="false">
      <c r="A24" s="39" t="s">
        <v>612</v>
      </c>
    </row>
    <row r="25" customFormat="false" ht="15" hidden="false" customHeight="false" outlineLevel="0" collapsed="false">
      <c r="A25" s="39" t="s">
        <v>613</v>
      </c>
    </row>
    <row r="26" customFormat="false" ht="15" hidden="false" customHeight="false" outlineLevel="0" collapsed="false">
      <c r="A26" s="39" t="s">
        <v>614</v>
      </c>
    </row>
    <row r="27" customFormat="false" ht="15" hidden="false" customHeight="false" outlineLevel="0" collapsed="false">
      <c r="A27" s="39" t="s">
        <v>615</v>
      </c>
    </row>
    <row r="28" customFormat="false" ht="15" hidden="false" customHeight="false" outlineLevel="0" collapsed="false">
      <c r="A28" s="39" t="s">
        <v>616</v>
      </c>
    </row>
    <row r="29" customFormat="false" ht="15" hidden="false" customHeight="false" outlineLevel="0" collapsed="false">
      <c r="A29" s="39" t="s">
        <v>617</v>
      </c>
    </row>
    <row r="30" customFormat="false" ht="15" hidden="false" customHeight="false" outlineLevel="0" collapsed="false">
      <c r="A30" s="39" t="s">
        <v>618</v>
      </c>
    </row>
    <row r="31" customFormat="false" ht="15" hidden="false" customHeight="false" outlineLevel="0" collapsed="false">
      <c r="A31" s="39" t="s">
        <v>619</v>
      </c>
    </row>
    <row r="32" customFormat="false" ht="15" hidden="false" customHeight="false" outlineLevel="0" collapsed="false">
      <c r="A32" s="39" t="s">
        <v>620</v>
      </c>
    </row>
    <row r="33" customFormat="false" ht="15" hidden="false" customHeight="false" outlineLevel="0" collapsed="false">
      <c r="A33" s="39" t="s">
        <v>621</v>
      </c>
    </row>
    <row r="34" customFormat="false" ht="15" hidden="false" customHeight="false" outlineLevel="0" collapsed="false">
      <c r="A34" s="39" t="s">
        <v>622</v>
      </c>
    </row>
    <row r="35" customFormat="false" ht="15" hidden="false" customHeight="false" outlineLevel="0" collapsed="false">
      <c r="A35" s="39" t="s">
        <v>623</v>
      </c>
    </row>
    <row r="36" customFormat="false" ht="15" hidden="false" customHeight="false" outlineLevel="0" collapsed="false">
      <c r="A36" s="39" t="s">
        <v>624</v>
      </c>
    </row>
    <row r="37" customFormat="false" ht="15" hidden="false" customHeight="false" outlineLevel="0" collapsed="false">
      <c r="A37" s="39" t="s">
        <v>625</v>
      </c>
    </row>
    <row r="38" customFormat="false" ht="15" hidden="false" customHeight="false" outlineLevel="0" collapsed="false">
      <c r="A38" s="39" t="s">
        <v>626</v>
      </c>
    </row>
    <row r="39" customFormat="false" ht="15" hidden="false" customHeight="false" outlineLevel="0" collapsed="false">
      <c r="A39" s="39" t="s">
        <v>627</v>
      </c>
    </row>
    <row r="40" customFormat="false" ht="15" hidden="false" customHeight="false" outlineLevel="0" collapsed="false">
      <c r="A40" s="39" t="s">
        <v>628</v>
      </c>
    </row>
    <row r="41" customFormat="false" ht="15" hidden="false" customHeight="false" outlineLevel="0" collapsed="false">
      <c r="A41" s="39" t="s">
        <v>629</v>
      </c>
    </row>
    <row r="42" customFormat="false" ht="15" hidden="false" customHeight="false" outlineLevel="0" collapsed="false">
      <c r="A42" s="39" t="s">
        <v>630</v>
      </c>
    </row>
    <row r="43" customFormat="false" ht="15" hidden="false" customHeight="false" outlineLevel="0" collapsed="false">
      <c r="A43" s="39" t="s">
        <v>631</v>
      </c>
    </row>
    <row r="44" customFormat="false" ht="15" hidden="false" customHeight="false" outlineLevel="0" collapsed="false">
      <c r="A44" s="39" t="s">
        <v>632</v>
      </c>
    </row>
    <row r="45" customFormat="false" ht="15" hidden="false" customHeight="false" outlineLevel="0" collapsed="false">
      <c r="A45" s="39" t="s">
        <v>633</v>
      </c>
    </row>
    <row r="46" customFormat="false" ht="15" hidden="false" customHeight="false" outlineLevel="0" collapsed="false">
      <c r="A46" s="39" t="s">
        <v>634</v>
      </c>
    </row>
    <row r="47" customFormat="false" ht="15" hidden="false" customHeight="false" outlineLevel="0" collapsed="false">
      <c r="A47" s="39" t="s">
        <v>635</v>
      </c>
    </row>
    <row r="48" customFormat="false" ht="15" hidden="false" customHeight="false" outlineLevel="0" collapsed="false">
      <c r="A48" s="39" t="s">
        <v>636</v>
      </c>
    </row>
    <row r="49" customFormat="false" ht="15" hidden="false" customHeight="false" outlineLevel="0" collapsed="false">
      <c r="A49" s="39" t="s">
        <v>637</v>
      </c>
    </row>
    <row r="50" customFormat="false" ht="15" hidden="false" customHeight="false" outlineLevel="0" collapsed="false">
      <c r="A50" s="39" t="s">
        <v>638</v>
      </c>
    </row>
    <row r="51" customFormat="false" ht="15" hidden="false" customHeight="false" outlineLevel="0" collapsed="false">
      <c r="A51" s="39" t="s">
        <v>639</v>
      </c>
    </row>
    <row r="52" customFormat="false" ht="15" hidden="false" customHeight="false" outlineLevel="0" collapsed="false">
      <c r="A52" s="39" t="s">
        <v>640</v>
      </c>
    </row>
    <row r="53" customFormat="false" ht="15" hidden="false" customHeight="false" outlineLevel="0" collapsed="false">
      <c r="A53" s="39" t="s">
        <v>641</v>
      </c>
    </row>
    <row r="54" customFormat="false" ht="15" hidden="false" customHeight="false" outlineLevel="0" collapsed="false">
      <c r="A54" s="39" t="s">
        <v>642</v>
      </c>
    </row>
    <row r="55" customFormat="false" ht="15" hidden="false" customHeight="false" outlineLevel="0" collapsed="false">
      <c r="A55" s="39" t="s">
        <v>643</v>
      </c>
    </row>
    <row r="56" customFormat="false" ht="15" hidden="false" customHeight="false" outlineLevel="0" collapsed="false">
      <c r="A56" s="39" t="s">
        <v>644</v>
      </c>
    </row>
    <row r="57" customFormat="false" ht="15" hidden="false" customHeight="false" outlineLevel="0" collapsed="false">
      <c r="A57" s="39" t="s">
        <v>645</v>
      </c>
    </row>
    <row r="58" customFormat="false" ht="15" hidden="false" customHeight="false" outlineLevel="0" collapsed="false">
      <c r="A58" s="39" t="s">
        <v>646</v>
      </c>
    </row>
    <row r="59" customFormat="false" ht="15" hidden="false" customHeight="false" outlineLevel="0" collapsed="false">
      <c r="A59" s="39" t="s">
        <v>647</v>
      </c>
    </row>
    <row r="60" customFormat="false" ht="15" hidden="false" customHeight="false" outlineLevel="0" collapsed="false">
      <c r="A60" s="39" t="s">
        <v>648</v>
      </c>
    </row>
    <row r="61" customFormat="false" ht="15" hidden="false" customHeight="false" outlineLevel="0" collapsed="false">
      <c r="A61" s="39" t="s">
        <v>649</v>
      </c>
    </row>
    <row r="62" customFormat="false" ht="15" hidden="false" customHeight="false" outlineLevel="0" collapsed="false">
      <c r="A62" s="39" t="s">
        <v>650</v>
      </c>
    </row>
    <row r="63" customFormat="false" ht="15" hidden="false" customHeight="false" outlineLevel="0" collapsed="false">
      <c r="A63" s="39" t="s">
        <v>651</v>
      </c>
    </row>
    <row r="64" customFormat="false" ht="15" hidden="false" customHeight="false" outlineLevel="0" collapsed="false">
      <c r="A64" s="39" t="s">
        <v>652</v>
      </c>
    </row>
    <row r="65" customFormat="false" ht="15" hidden="false" customHeight="false" outlineLevel="0" collapsed="false">
      <c r="A65" s="39" t="s">
        <v>653</v>
      </c>
    </row>
    <row r="66" customFormat="false" ht="15" hidden="false" customHeight="false" outlineLevel="0" collapsed="false">
      <c r="A66" s="39" t="s">
        <v>654</v>
      </c>
    </row>
    <row r="67" customFormat="false" ht="15" hidden="false" customHeight="false" outlineLevel="0" collapsed="false">
      <c r="A67" s="39" t="s">
        <v>655</v>
      </c>
    </row>
    <row r="68" customFormat="false" ht="15" hidden="false" customHeight="false" outlineLevel="0" collapsed="false">
      <c r="A68" s="39" t="s">
        <v>656</v>
      </c>
    </row>
    <row r="69" customFormat="false" ht="15" hidden="false" customHeight="false" outlineLevel="0" collapsed="false">
      <c r="A69" s="39" t="s">
        <v>657</v>
      </c>
    </row>
    <row r="70" customFormat="false" ht="15" hidden="false" customHeight="false" outlineLevel="0" collapsed="false">
      <c r="A70" s="39" t="s">
        <v>658</v>
      </c>
    </row>
    <row r="71" customFormat="false" ht="15" hidden="false" customHeight="false" outlineLevel="0" collapsed="false">
      <c r="A71" s="39" t="s">
        <v>659</v>
      </c>
    </row>
    <row r="72" customFormat="false" ht="15" hidden="false" customHeight="false" outlineLevel="0" collapsed="false">
      <c r="A72" s="39" t="s">
        <v>660</v>
      </c>
    </row>
    <row r="73" customFormat="false" ht="15" hidden="false" customHeight="false" outlineLevel="0" collapsed="false">
      <c r="A73" s="39" t="s">
        <v>661</v>
      </c>
    </row>
    <row r="74" customFormat="false" ht="15" hidden="false" customHeight="false" outlineLevel="0" collapsed="false">
      <c r="A74" s="39" t="s">
        <v>662</v>
      </c>
    </row>
    <row r="75" customFormat="false" ht="15" hidden="false" customHeight="false" outlineLevel="0" collapsed="false">
      <c r="A75" s="39" t="s">
        <v>663</v>
      </c>
    </row>
    <row r="76" customFormat="false" ht="15" hidden="false" customHeight="false" outlineLevel="0" collapsed="false">
      <c r="A76" s="39" t="s">
        <v>664</v>
      </c>
    </row>
    <row r="77" customFormat="false" ht="15" hidden="false" customHeight="false" outlineLevel="0" collapsed="false">
      <c r="A77" s="39" t="s">
        <v>665</v>
      </c>
    </row>
    <row r="78" customFormat="false" ht="15" hidden="false" customHeight="false" outlineLevel="0" collapsed="false">
      <c r="A78" s="39" t="s">
        <v>666</v>
      </c>
    </row>
    <row r="79" customFormat="false" ht="15" hidden="false" customHeight="false" outlineLevel="0" collapsed="false">
      <c r="A79" s="39" t="s">
        <v>667</v>
      </c>
    </row>
    <row r="80" customFormat="false" ht="15" hidden="false" customHeight="false" outlineLevel="0" collapsed="false">
      <c r="A80" s="39" t="s">
        <v>668</v>
      </c>
    </row>
    <row r="81" customFormat="false" ht="15" hidden="false" customHeight="false" outlineLevel="0" collapsed="false">
      <c r="A81" s="39" t="s">
        <v>669</v>
      </c>
    </row>
    <row r="82" customFormat="false" ht="15" hidden="false" customHeight="false" outlineLevel="0" collapsed="false">
      <c r="A82" s="39" t="s">
        <v>670</v>
      </c>
    </row>
  </sheetData>
  <mergeCells count="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2026-09-03T09:06:36Z</dcterms:created>
  <dc:creator>openpyxl</dc:creator>
  <dc:description/>
  <dc:language>zh-CN</dc:language>
  <cp:lastModifiedBy/>
  <dcterms:modified xsi:type="dcterms:W3CDTF">2026-09-07T11:26:56Z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