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8.xml" ContentType="application/vnd.openxmlformats-officedocument.spreadsheetml.worksheet+xml"/>
  <Override PartName="/xl/tables/table10.xml" ContentType="application/vnd.openxmlformats-officedocument.spreadsheetml.table+xml"/>
  <Override PartName="/xl/worksheets/sheet9.xml" ContentType="application/vnd.openxmlformats-officedocument.spreadsheetml.worksheet+xml"/>
  <Override PartName="/xl/tables/table11.xml" ContentType="application/vnd.openxmlformats-officedocument.spreadsheetml.table+xml"/>
  <Override PartName="/xl/worksheets/sheet10.xml" ContentType="application/vnd.openxmlformats-officedocument.spreadsheetml.worksheet+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说明" sheetId="1" state="visible" r:id="rId1"/>
    <sheet xmlns:r="http://schemas.openxmlformats.org/officeDocument/2006/relationships" name="数据源" sheetId="2" state="visible" r:id="rId2"/>
    <sheet xmlns:r="http://schemas.openxmlformats.org/officeDocument/2006/relationships" name="跨国底稿" sheetId="3" state="visible" r:id="rId3"/>
    <sheet xmlns:r="http://schemas.openxmlformats.org/officeDocument/2006/relationships" name="描述统计" sheetId="4" state="visible" r:id="rId4"/>
    <sheet xmlns:r="http://schemas.openxmlformats.org/officeDocument/2006/relationships" name="缺失分析" sheetId="5" state="visible" r:id="rId5"/>
    <sheet xmlns:r="http://schemas.openxmlformats.org/officeDocument/2006/relationships" name="相关系数" sheetId="6" state="visible" r:id="rId6"/>
    <sheet xmlns:r="http://schemas.openxmlformats.org/officeDocument/2006/relationships" name="模型结果" sheetId="7" state="visible" r:id="rId7"/>
    <sheet xmlns:r="http://schemas.openxmlformats.org/officeDocument/2006/relationships" name="稳健性分析" sheetId="8" state="visible" r:id="rId8"/>
    <sheet xmlns:r="http://schemas.openxmlformats.org/officeDocument/2006/relationships" name="模型输出与HC3结果" sheetId="9" state="visible" r:id="rId9"/>
    <sheet xmlns:r="http://schemas.openxmlformats.org/officeDocument/2006/relationships" name="隐私证据矩阵" sheetId="10" state="visible" r:id="rId10"/>
    <sheet xmlns:r="http://schemas.openxmlformats.org/officeDocument/2006/relationships" name="一致性检查" sheetId="11" state="visible" r:id="rId11"/>
    <sheet xmlns:r="http://schemas.openxmlformats.org/officeDocument/2006/relationships" name="分析复现说明" sheetId="12" state="visible" r:id="rId12"/>
  </sheets>
  <definedNames/>
  <calcPr calcId="0" fullCalcOnLoad="1"/>
</workbook>
</file>

<file path=xl/styles.xml><?xml version="1.0" encoding="utf-8"?>
<styleSheet xmlns="http://schemas.openxmlformats.org/spreadsheetml/2006/main">
  <numFmts count="7">
    <numFmt numFmtId="164" formatCode="0.0"/>
    <numFmt numFmtId="165" formatCode="0.000000"/>
    <numFmt numFmtId="166" formatCode="0.000"/>
    <numFmt numFmtId="167" formatCode="0.0%"/>
    <numFmt numFmtId="168" formatCode="0.0000"/>
    <numFmt numFmtId="169" formatCode="[&lt;0.0001]&quot;&lt;0.0001&quot;;0.0000"/>
    <numFmt numFmtId="170" formatCode="[&lt;0.000001]&quot;&lt;0.000001&quot;;0.000000"/>
  </numFmts>
  <fonts count="16">
    <font>
      <name val="Carlito"/>
      <sz val="11"/>
    </font>
    <font>
      <name val="Carlito"/>
      <b val="1"/>
      <color rgb="FFFFFFFF"/>
      <sz val="16"/>
    </font>
    <font>
      <name val="Carlito"/>
      <i val="1"/>
      <color rgb="FF445E68"/>
      <sz val="10"/>
    </font>
    <font>
      <name val="Carlito"/>
      <b val="1"/>
      <color rgb="FFFFFFFF"/>
      <sz val="11"/>
    </font>
    <font>
      <name val="Carlito"/>
      <b val="1"/>
      <color rgb="FF17365D"/>
      <sz val="11"/>
    </font>
    <font>
      <name val="Carlito"/>
      <i val="1"/>
      <color rgb="FF17365D"/>
      <sz val="11"/>
    </font>
    <font>
      <name val="Carlito"/>
      <b val="1"/>
      <color rgb="FF006100"/>
      <sz val="11"/>
    </font>
    <font>
      <name val="Aptos"/>
      <b val="1"/>
      <color rgb="FFFFFFFF"/>
      <sz val="10"/>
    </font>
    <font>
      <name val="Aptos"/>
      <sz val="10"/>
    </font>
    <font>
      <name val="Aptos"/>
      <i val="1"/>
      <color rgb="FF445E68"/>
      <sz val="10"/>
    </font>
    <font>
      <name val="Aptos"/>
      <b val="1"/>
      <color rgb="FF17365D"/>
      <sz val="10"/>
    </font>
    <font>
      <name val="Aptos"/>
      <i val="1"/>
      <color rgb="FF17365D"/>
      <sz val="10"/>
    </font>
    <font>
      <name val="Aptos"/>
      <b val="1"/>
      <color rgb="FF006100"/>
      <sz val="10"/>
    </font>
    <font>
      <name val="Calibri"/>
      <family val="2"/>
      <color theme="10"/>
      <sz val="12"/>
      <scheme val="minor"/>
    </font>
    <font>
      <b val="1"/>
      <sz val="13"/>
    </font>
    <font>
      <name val="Consolas"/>
      <sz val="10"/>
    </font>
  </fonts>
  <fills count="7">
    <fill>
      <patternFill/>
    </fill>
    <fill>
      <patternFill patternType="gray125"/>
    </fill>
    <fill>
      <patternFill patternType="solid">
        <fgColor rgb="FF1F4E78"/>
      </patternFill>
    </fill>
    <fill>
      <patternFill patternType="solid">
        <fgColor rgb="FFEEF5F8"/>
      </patternFill>
    </fill>
    <fill>
      <patternFill patternType="solid">
        <fgColor rgb="FFFFF2CC"/>
      </patternFill>
    </fill>
    <fill>
      <patternFill patternType="solid">
        <fgColor rgb="FFD9EAF7"/>
      </patternFill>
    </fill>
    <fill>
      <patternFill patternType="solid">
        <fgColor rgb="FFE2F0D9"/>
      </patternFill>
    </fill>
  </fills>
  <borders count="4">
    <border/>
    <border>
      <bottom style="thin">
        <color rgb="FFD7E1E7"/>
      </bottom>
    </border>
    <border>
      <top style="thin">
        <color rgb="FFD7E1E7"/>
      </top>
      <bottom style="thin">
        <color rgb="FFD7E1E7"/>
      </bottom>
    </border>
    <border>
      <left/>
      <right/>
      <top/>
      <bottom/>
      <diagonal/>
    </border>
  </borders>
  <cellStyleXfs count="2">
    <xf numFmtId="0" fontId="0" fillId="0" borderId="0"/>
    <xf numFmtId="0" fontId="13" fillId="0" borderId="3"/>
  </cellStyleXfs>
  <cellXfs count="88">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2" applyAlignment="1" pivotButton="0" quotePrefix="0" xfId="0">
      <alignment vertical="center"/>
    </xf>
    <xf numFmtId="0" fontId="0" fillId="0" borderId="2" applyAlignment="1" pivotButton="0" quotePrefix="0" xfId="0">
      <alignment vertical="center" wrapText="1"/>
    </xf>
    <xf numFmtId="0" fontId="4" fillId="2" borderId="1" applyAlignment="1" pivotButton="0" quotePrefix="0" xfId="0">
      <alignment horizontal="center" vertical="center" wrapText="1"/>
    </xf>
    <xf numFmtId="0" fontId="4" fillId="0" borderId="2" applyAlignment="1" pivotButton="0" quotePrefix="0" xfId="0">
      <alignment vertical="center" wrapText="1"/>
    </xf>
    <xf numFmtId="0" fontId="0" fillId="4" borderId="2" applyAlignment="1" pivotButton="0" quotePrefix="0" xfId="0">
      <alignment vertical="center"/>
    </xf>
    <xf numFmtId="164" fontId="0" fillId="0" borderId="2" applyAlignment="1" pivotButton="0" quotePrefix="0" xfId="0">
      <alignment vertical="center"/>
    </xf>
    <xf numFmtId="4" fontId="0" fillId="0" borderId="2" applyAlignment="1" pivotButton="0" quotePrefix="0" xfId="0">
      <alignment vertical="center"/>
    </xf>
    <xf numFmtId="165" fontId="0" fillId="4" borderId="2" applyAlignment="1" pivotButton="0" quotePrefix="0" xfId="0">
      <alignment vertical="center"/>
    </xf>
    <xf numFmtId="2" fontId="0" fillId="0" borderId="2" applyAlignment="1" pivotButton="0" quotePrefix="0" xfId="0">
      <alignment vertical="center"/>
    </xf>
    <xf numFmtId="1" fontId="0" fillId="0" borderId="2" applyAlignment="1" pivotButton="0" quotePrefix="0" xfId="0">
      <alignment vertical="center" wrapText="1"/>
    </xf>
    <xf numFmtId="166" fontId="0" fillId="0" borderId="2" applyAlignment="1" pivotButton="0" quotePrefix="0" xfId="0">
      <alignment vertical="center" wrapText="1"/>
    </xf>
    <xf numFmtId="167" fontId="0" fillId="0" borderId="2" applyAlignment="1" pivotButton="0" quotePrefix="0" xfId="0">
      <alignment vertical="center" wrapText="1"/>
    </xf>
    <xf numFmtId="0" fontId="0" fillId="5" borderId="0" pivotButton="0" quotePrefix="0" xfId="0"/>
    <xf numFmtId="0" fontId="4" fillId="5" borderId="0" pivotButton="0" quotePrefix="0" xfId="0"/>
    <xf numFmtId="168" fontId="0" fillId="0" borderId="2" applyAlignment="1" pivotButton="0" quotePrefix="0" xfId="0">
      <alignment vertical="center" wrapText="1"/>
    </xf>
    <xf numFmtId="168" fontId="0" fillId="0" borderId="0" pivotButton="0" quotePrefix="0" xfId="0"/>
    <xf numFmtId="168" fontId="3" fillId="2" borderId="1" applyAlignment="1" pivotButton="0" quotePrefix="0" xfId="0">
      <alignment horizontal="center" vertical="center" wrapText="1"/>
    </xf>
    <xf numFmtId="169" fontId="0" fillId="0" borderId="2" applyAlignment="1" pivotButton="0" quotePrefix="0" xfId="0">
      <alignment vertical="center" wrapText="1"/>
    </xf>
    <xf numFmtId="169" fontId="0" fillId="0" borderId="0" pivotButton="0" quotePrefix="0" xfId="0"/>
    <xf numFmtId="169" fontId="3" fillId="2" borderId="1" applyAlignment="1" pivotButton="0" quotePrefix="0" xfId="0">
      <alignment horizontal="center" vertical="center" wrapText="1"/>
    </xf>
    <xf numFmtId="165" fontId="0" fillId="0" borderId="2" applyAlignment="1" pivotButton="0" quotePrefix="0" xfId="0">
      <alignment vertical="center" wrapText="1"/>
    </xf>
    <xf numFmtId="170" fontId="0" fillId="0" borderId="2" applyAlignment="1" pivotButton="0" quotePrefix="0" xfId="0">
      <alignment vertical="center" wrapText="1"/>
    </xf>
    <xf numFmtId="0" fontId="0" fillId="4" borderId="0" pivotButton="0" quotePrefix="0" xfId="0"/>
    <xf numFmtId="0" fontId="5" fillId="4" borderId="0" pivotButton="0" quotePrefix="0" xfId="0"/>
    <xf numFmtId="0" fontId="5" fillId="4" borderId="0" applyAlignment="1" pivotButton="0" quotePrefix="0" xfId="0">
      <alignment wrapText="1"/>
    </xf>
    <xf numFmtId="0" fontId="0" fillId="6" borderId="2" applyAlignment="1" pivotButton="0" quotePrefix="0" xfId="0">
      <alignment vertical="center" wrapText="1"/>
    </xf>
    <xf numFmtId="0" fontId="6" fillId="6" borderId="2" applyAlignment="1" pivotButton="0" quotePrefix="0" xfId="0">
      <alignment vertical="center" wrapText="1"/>
    </xf>
    <xf numFmtId="0" fontId="6" fillId="6" borderId="2" applyAlignment="1" pivotButton="0" quotePrefix="0" xfId="0">
      <alignment horizontal="center" vertical="center" wrapText="1"/>
    </xf>
    <xf numFmtId="0" fontId="7" fillId="2" borderId="0" applyAlignment="1" pivotButton="0" quotePrefix="0" xfId="0">
      <alignment vertical="center"/>
    </xf>
    <xf numFmtId="0" fontId="8" fillId="0" borderId="0" pivotButton="0" quotePrefix="0" xfId="0"/>
    <xf numFmtId="0" fontId="9" fillId="3" borderId="0" applyAlignment="1" pivotButton="0" quotePrefix="0" xfId="0">
      <alignment vertical="center" wrapText="1"/>
    </xf>
    <xf numFmtId="0" fontId="10" fillId="2" borderId="1" applyAlignment="1" pivotButton="0" quotePrefix="0" xfId="0">
      <alignment horizontal="center" vertical="center" wrapText="1"/>
    </xf>
    <xf numFmtId="0" fontId="7" fillId="2" borderId="1" applyAlignment="1" pivotButton="0" quotePrefix="0" xfId="0">
      <alignment horizontal="center" vertical="center" wrapText="1"/>
    </xf>
    <xf numFmtId="0" fontId="10" fillId="0" borderId="2" applyAlignment="1" pivotButton="0" quotePrefix="0" xfId="0">
      <alignment vertical="center" wrapText="1"/>
    </xf>
    <xf numFmtId="0" fontId="8" fillId="0" borderId="2" applyAlignment="1" pivotButton="0" quotePrefix="0" xfId="0">
      <alignment vertical="center" wrapText="1"/>
    </xf>
    <xf numFmtId="0" fontId="8" fillId="0" borderId="2" applyAlignment="1" pivotButton="0" quotePrefix="0" xfId="0">
      <alignment vertical="center"/>
    </xf>
    <xf numFmtId="164" fontId="8" fillId="0" borderId="2" applyAlignment="1" pivotButton="0" quotePrefix="0" xfId="0">
      <alignment vertical="center"/>
    </xf>
    <xf numFmtId="4" fontId="8" fillId="0" borderId="2" applyAlignment="1" pivotButton="0" quotePrefix="0" xfId="0">
      <alignment vertical="center"/>
    </xf>
    <xf numFmtId="165" fontId="8" fillId="4" borderId="2" applyAlignment="1" pivotButton="0" quotePrefix="0" xfId="0">
      <alignment vertical="center"/>
    </xf>
    <xf numFmtId="2" fontId="8" fillId="0" borderId="2" applyAlignment="1" pivotButton="0" quotePrefix="0" xfId="0">
      <alignment vertical="center"/>
    </xf>
    <xf numFmtId="0" fontId="8" fillId="4" borderId="2" applyAlignment="1" pivotButton="0" quotePrefix="0" xfId="0">
      <alignment vertical="center"/>
    </xf>
    <xf numFmtId="1" fontId="8" fillId="0" borderId="2" applyAlignment="1" pivotButton="0" quotePrefix="0" xfId="0">
      <alignment vertical="center" wrapText="1"/>
    </xf>
    <xf numFmtId="166" fontId="8" fillId="0" borderId="2" applyAlignment="1" pivotButton="0" quotePrefix="0" xfId="0">
      <alignment vertical="center" wrapText="1"/>
    </xf>
    <xf numFmtId="167" fontId="8" fillId="0" borderId="2" applyAlignment="1" pivotButton="0" quotePrefix="0" xfId="0">
      <alignment vertical="center" wrapText="1"/>
    </xf>
    <xf numFmtId="0" fontId="10" fillId="5" borderId="0" pivotButton="0" quotePrefix="0" xfId="0"/>
    <xf numFmtId="168" fontId="8" fillId="0" borderId="2" applyAlignment="1" pivotButton="0" quotePrefix="0" xfId="0">
      <alignment vertical="center" wrapText="1"/>
    </xf>
    <xf numFmtId="169" fontId="8" fillId="0" borderId="2" applyAlignment="1" pivotButton="0" quotePrefix="0" xfId="0">
      <alignment vertical="center" wrapText="1"/>
    </xf>
    <xf numFmtId="168" fontId="8" fillId="0" borderId="0" pivotButton="0" quotePrefix="0" xfId="0"/>
    <xf numFmtId="169" fontId="8" fillId="0" borderId="0" pivotButton="0" quotePrefix="0" xfId="0"/>
    <xf numFmtId="168" fontId="7" fillId="2" borderId="1" applyAlignment="1" pivotButton="0" quotePrefix="0" xfId="0">
      <alignment horizontal="center" vertical="center" wrapText="1"/>
    </xf>
    <xf numFmtId="169" fontId="7" fillId="2" borderId="1" applyAlignment="1" pivotButton="0" quotePrefix="0" xfId="0">
      <alignment horizontal="center" vertical="center" wrapText="1"/>
    </xf>
    <xf numFmtId="165" fontId="8" fillId="0" borderId="2" applyAlignment="1" pivotButton="0" quotePrefix="0" xfId="0">
      <alignment vertical="center" wrapText="1"/>
    </xf>
    <xf numFmtId="170" fontId="8" fillId="0" borderId="2" applyAlignment="1" pivotButton="0" quotePrefix="0" xfId="0">
      <alignment vertical="center" wrapText="1"/>
    </xf>
    <xf numFmtId="0" fontId="11" fillId="4" borderId="0" applyAlignment="1" pivotButton="0" quotePrefix="0" xfId="0">
      <alignment wrapText="1"/>
    </xf>
    <xf numFmtId="0" fontId="12" fillId="6" borderId="2" applyAlignment="1" pivotButton="0" quotePrefix="0" xfId="0">
      <alignment horizontal="center" vertical="center" wrapText="1"/>
    </xf>
    <xf numFmtId="164" fontId="8" fillId="0" borderId="2" applyAlignment="1" pivotButton="0" quotePrefix="0" xfId="0">
      <alignment vertical="center"/>
    </xf>
    <xf numFmtId="4" fontId="8" fillId="0" borderId="2" applyAlignment="1" pivotButton="0" quotePrefix="0" xfId="0">
      <alignment vertical="center"/>
    </xf>
    <xf numFmtId="165" fontId="8" fillId="4" borderId="2" applyAlignment="1" pivotButton="0" quotePrefix="0" xfId="0">
      <alignment vertical="center"/>
    </xf>
    <xf numFmtId="2" fontId="8" fillId="0" borderId="2" applyAlignment="1" pivotButton="0" quotePrefix="0" xfId="0">
      <alignment vertical="center"/>
    </xf>
    <xf numFmtId="1" fontId="8" fillId="0" borderId="2" applyAlignment="1" pivotButton="0" quotePrefix="0" xfId="0">
      <alignment vertical="center" wrapText="1"/>
    </xf>
    <xf numFmtId="166" fontId="8" fillId="0" borderId="2" applyAlignment="1" pivotButton="0" quotePrefix="0" xfId="0">
      <alignment vertical="center" wrapText="1"/>
    </xf>
    <xf numFmtId="167" fontId="8" fillId="0" borderId="2" applyAlignment="1" pivotButton="0" quotePrefix="0" xfId="0">
      <alignment vertical="center" wrapText="1"/>
    </xf>
    <xf numFmtId="168" fontId="8" fillId="0" borderId="2" applyAlignment="1" pivotButton="0" quotePrefix="0" xfId="0">
      <alignment vertical="center" wrapText="1"/>
    </xf>
    <xf numFmtId="169" fontId="8" fillId="0" borderId="2" applyAlignment="1" pivotButton="0" quotePrefix="0" xfId="0">
      <alignment vertical="center" wrapText="1"/>
    </xf>
    <xf numFmtId="168" fontId="8" fillId="0" borderId="0" pivotButton="0" quotePrefix="0" xfId="0"/>
    <xf numFmtId="169" fontId="8" fillId="0" borderId="0" pivotButton="0" quotePrefix="0" xfId="0"/>
    <xf numFmtId="168" fontId="7" fillId="2" borderId="1" applyAlignment="1" pivotButton="0" quotePrefix="0" xfId="0">
      <alignment horizontal="center" vertical="center" wrapText="1"/>
    </xf>
    <xf numFmtId="169" fontId="7" fillId="2" borderId="1" applyAlignment="1" pivotButton="0" quotePrefix="0" xfId="0">
      <alignment horizontal="center" vertical="center" wrapText="1"/>
    </xf>
    <xf numFmtId="165" fontId="8" fillId="0" borderId="2" applyAlignment="1" pivotButton="0" quotePrefix="0" xfId="0">
      <alignment vertical="center" wrapText="1"/>
    </xf>
    <xf numFmtId="170" fontId="8" fillId="0" borderId="2" applyAlignment="1" pivotButton="0" quotePrefix="0" xfId="0">
      <alignment vertical="center" wrapText="1"/>
    </xf>
    <xf numFmtId="0" fontId="13" fillId="0" borderId="3" pivotButton="0" quotePrefix="0" xfId="1"/>
    <xf numFmtId="0" fontId="0" fillId="0" borderId="0" applyAlignment="1" pivotButton="0" quotePrefix="0" xfId="0">
      <alignment vertical="top" wrapText="1"/>
    </xf>
    <xf numFmtId="0" fontId="14" fillId="0" borderId="0" pivotButton="0" quotePrefix="0" xfId="0"/>
    <xf numFmtId="0" fontId="15" fillId="0" borderId="0" pivotButton="0" quotePrefix="0" xfId="0"/>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ReadmeTable" displayName="ReadmeTable" ref="A4:B13" headerRowCount="1" totalsRowCount="0" totalsRowShown="0">
  <tableColumns count="2">
    <tableColumn id="1" name="项目"/>
    <tableColumn id="2" name="说明"/>
  </tableColumns>
  <tableStyleInfo name="TableStyleMedium2" showFirstColumn="0" showLastColumn="0" showRowStripes="1" showColumnStripes="0"/>
</table>
</file>

<file path=xl/tables/table2.xml><?xml version="1.0" encoding="utf-8"?>
<table xmlns="http://schemas.openxmlformats.org/spreadsheetml/2006/main" id="2" name="SourcesTable" displayName="SourcesTable" ref="A4:J8" headerRowCount="1" totalsRowCount="0" totalsRowShown="0">
  <tableColumns count="10">
    <tableColumn id="1" name="数据集"/>
    <tableColumn id="2" name="来源机构"/>
    <tableColumn id="3" name="版本/存档"/>
    <tableColumn id="4" name="下载日期"/>
    <tableColumn id="5" name="完整URL"/>
    <tableColumn id="6" name="查询范围"/>
    <tableColumn id="7" name="单位"/>
    <tableColumn id="8" name="观测年份规则"/>
    <tableColumn id="9" name="原始文件名"/>
    <tableColumn id="10" name="SHA-256"/>
  </tableColumns>
  <tableStyleInfo name="TableStyleMedium2" showFirstColumn="0" showLastColumn="0" showRowStripes="1" showColumnStripes="0"/>
</table>
</file>

<file path=xl/tables/table3.xml><?xml version="1.0" encoding="utf-8"?>
<table xmlns="http://schemas.openxmlformats.org/spreadsheetml/2006/main" id="3" name="CountryAuditTable" displayName="CountryAuditTable" ref="A4:S171" headerRowCount="1" totalsRowCount="0" totalsRowShown="0">
  <tableColumns count="19">
    <tableColumn id="1" name="ISO3"/>
    <tableColumn id="2" name="国家"/>
    <tableColumn id="3" name="MMR"/>
    <tableColumn id="4" name="MMR年份"/>
    <tableColumn id="5" name="原始GDP"/>
    <tableColumn id="6" name="GDP年份"/>
    <tableColumn id="7" name="logGDP（公式）"/>
    <tableColumn id="8" name="政治体制代码"/>
    <tableColumn id="9" name="文字类别"/>
    <tableColumn id="10" name="治理年份"/>
    <tableColumn id="11" name="CPR"/>
    <tableColumn id="12" name="CPR年份"/>
    <tableColumn id="13" name="CPR缺失标记（公式）"/>
    <tableColumn id="14" name="log(MMR)（公式）"/>
    <tableColumn id="15" name="Regime=1"/>
    <tableColumn id="16" name="Regime=2"/>
    <tableColumn id="17" name="Regime=3"/>
    <tableColumn id="18" name="CPR年份-2018"/>
    <tableColumn id="19" name="审计备注"/>
  </tableColumns>
  <tableStyleInfo name="TableStyleMedium2" showFirstColumn="0" showLastColumn="0" showRowStripes="1" showColumnStripes="0"/>
</table>
</file>

<file path=xl/tables/table4.xml><?xml version="1.0" encoding="utf-8"?>
<table xmlns="http://schemas.openxmlformats.org/spreadsheetml/2006/main" id="4" name="DescriptiveTable" displayName="DescriptiveTable" ref="A4:I11" headerRowCount="1" totalsRowCount="0" totalsRowShown="0">
  <tableColumns count="9">
    <tableColumn id="1" name="变量"/>
    <tableColumn id="2" name="n"/>
    <tableColumn id="3" name="均值"/>
    <tableColumn id="4" name="SD"/>
    <tableColumn id="5" name="中位数"/>
    <tableColumn id="6" name="IQR"/>
    <tableColumn id="7" name="最小值"/>
    <tableColumn id="8" name="最大值"/>
    <tableColumn id="9" name="数据列"/>
  </tableColumns>
  <tableStyleInfo name="TableStyleMedium2" showFirstColumn="0" showLastColumn="0" showRowStripes="1" showColumnStripes="0"/>
</table>
</file>

<file path=xl/tables/table5.xml><?xml version="1.0" encoding="utf-8"?>
<table xmlns="http://schemas.openxmlformats.org/spreadsheetml/2006/main" id="5" name="MissingByRegimeTable" displayName="MissingByRegimeTable" ref="A4:F8" headerRowCount="1" totalsRowCount="0" totalsRowShown="0">
  <tableColumns count="6">
    <tableColumn id="1" name="政治体制代码"/>
    <tableColumn id="2" name="政治体制类别"/>
    <tableColumn id="3" name="总数"/>
    <tableColumn id="4" name="CPR观测数"/>
    <tableColumn id="5" name="CPR缺失数"/>
    <tableColumn id="6" name="缺失率"/>
  </tableColumns>
  <tableStyleInfo name="TableStyleMedium2" showFirstColumn="0" showLastColumn="0" showRowStripes="1" showColumnStripes="0"/>
</table>
</file>

<file path=xl/tables/table6.xml><?xml version="1.0" encoding="utf-8"?>
<table xmlns="http://schemas.openxmlformats.org/spreadsheetml/2006/main" id="6" name="MissingCountriesTable" displayName="MissingCountriesTable" ref="A12:E40" headerRowCount="1" totalsRowCount="0" totalsRowShown="0">
  <tableColumns count="5">
    <tableColumn id="1" name="ISO3"/>
    <tableColumn id="2" name="国家"/>
    <tableColumn id="3" name="政治体制代码"/>
    <tableColumn id="4" name="政治体制类别"/>
    <tableColumn id="5" name="风险说明"/>
  </tableColumns>
  <tableStyleInfo name="TableStyleMedium2" showFirstColumn="0" showLastColumn="0" showRowStripes="1" showColumnStripes="0"/>
</table>
</file>

<file path=xl/tables/table7.xml><?xml version="1.0" encoding="utf-8"?>
<table xmlns="http://schemas.openxmlformats.org/spreadsheetml/2006/main" id="7" name="CorrelationTable" displayName="CorrelationTable" ref="A4:E11" headerRowCount="1" totalsRowCount="0" totalsRowShown="0">
  <tableColumns count="5">
    <tableColumn id="1" name="变量X"/>
    <tableColumn id="2" name="变量Y"/>
    <tableColumn id="3" name="n"/>
    <tableColumn id="4" name="Pearson r"/>
    <tableColumn id="5" name="解释"/>
  </tableColumns>
  <tableStyleInfo name="TableStyleMedium2" showFirstColumn="0" showLastColumn="0" showRowStripes="1" showColumnStripes="0"/>
</table>
</file>

<file path=xl/tables/table8.xml><?xml version="1.0" encoding="utf-8"?>
<table xmlns="http://schemas.openxmlformats.org/spreadsheetml/2006/main" id="8" name="MainModelResults" displayName="MainModelResults" ref="A4:M6" headerRowCount="1" totalsRowCount="0" totalsRowShown="0">
  <tableColumns count="13">
    <tableColumn id="1" name="模型"/>
    <tableColumn id="2" name="政治体制项"/>
    <tableColumn id="3" name="n"/>
    <tableColumn id="4" name="df"/>
    <tableColumn id="5" name="β"/>
    <tableColumn id="6" name="经典SE"/>
    <tableColumn id="7" name="经典p"/>
    <tableColumn id="8" name="HC3 SE"/>
    <tableColumn id="9" name="HC3 p"/>
    <tableColumn id="10" name="HC3 95%CI下限"/>
    <tableColumn id="11" name="HC3 95%CI上限"/>
    <tableColumn id="12" name="R²"/>
    <tableColumn id="13" name="调整R²"/>
  </tableColumns>
  <tableStyleInfo name="TableStyleMedium2" showFirstColumn="0" showLastColumn="0" showRowStripes="1" showColumnStripes="0"/>
</table>
</file>

<file path=xl/tables/table9.xml><?xml version="1.0" encoding="utf-8"?>
<table xmlns="http://schemas.openxmlformats.org/spreadsheetml/2006/main" id="9" name="MainModelAllTerms" displayName="MainModelAllTerms" ref="A9:M15" headerRowCount="1" totalsRowCount="0" totalsRowShown="0">
  <tableColumns count="13">
    <tableColumn id="1" name="模型"/>
    <tableColumn id="2" name="政治体制项"/>
    <tableColumn id="3" name="n"/>
    <tableColumn id="4" name="df"/>
    <tableColumn id="5" name="β"/>
    <tableColumn id="6" name="经典SE"/>
    <tableColumn id="7" name="经典p"/>
    <tableColumn id="8" name="HC3 SE"/>
    <tableColumn id="9" name="HC3 p"/>
    <tableColumn id="10" name="HC3 95%CI下限"/>
    <tableColumn id="11" name="HC3 95%CI上限"/>
    <tableColumn id="12" name="R²"/>
    <tableColumn id="13" name="调整R²"/>
  </tableColumns>
  <tableStyleInfo name="TableStyleMedium2" showFirstColumn="0" showLastColumn="0" showRowStripes="1" showColumnStripes="0"/>
</table>
</file>

<file path=xl/tables/table10.xml><?xml version="1.0" encoding="utf-8"?>
<table xmlns="http://schemas.openxmlformats.org/spreadsheetml/2006/main" id="10" name="RobustnessTable" displayName="RobustnessTable" ref="A4:M14" headerRowCount="1" totalsRowCount="0" totalsRowShown="0">
  <tableColumns count="13">
    <tableColumn id="1" name="模型"/>
    <tableColumn id="2" name="政治体制项"/>
    <tableColumn id="3" name="n"/>
    <tableColumn id="4" name="df"/>
    <tableColumn id="5" name="β"/>
    <tableColumn id="6" name="经典SE"/>
    <tableColumn id="7" name="经典p"/>
    <tableColumn id="8" name="HC3 SE"/>
    <tableColumn id="9" name="HC3 p"/>
    <tableColumn id="10" name="HC3 95%CI下限"/>
    <tableColumn id="11" name="HC3 95%CI上限"/>
    <tableColumn id="12" name="R²"/>
    <tableColumn id="13" name="调整R²"/>
  </tableColumns>
  <tableStyleInfo name="TableStyleMedium2" showFirstColumn="0" showLastColumn="0" showRowStripes="1" showColumnStripes="0"/>
</table>
</file>

<file path=xl/tables/table11.xml><?xml version="1.0" encoding="utf-8"?>
<table xmlns="http://schemas.openxmlformats.org/spreadsheetml/2006/main" id="11" name="HC3RecordTable" displayName="HC3RecordTable" ref="A4:T30" headerRowCount="1" totalsRowCount="0" totalsRowShown="0">
  <tableColumns count="20">
    <tableColumn id="1" name="模型"/>
    <tableColumn id="2" name="因变量"/>
    <tableColumn id="3" name="预测变量"/>
    <tableColumn id="4" name="项"/>
    <tableColumn id="5" name="n"/>
    <tableColumn id="6" name="k"/>
    <tableColumn id="7" name="df"/>
    <tableColumn id="8" name="β"/>
    <tableColumn id="9" name="经典SE"/>
    <tableColumn id="10" name="经典t"/>
    <tableColumn id="11" name="经典p"/>
    <tableColumn id="12" name="经典CI下"/>
    <tableColumn id="13" name="经典CI上"/>
    <tableColumn id="14" name="HC3 SE"/>
    <tableColumn id="15" name="HC3 t"/>
    <tableColumn id="16" name="HC3 p"/>
    <tableColumn id="17" name="HC3 CI下"/>
    <tableColumn id="18" name="HC3 CI上"/>
    <tableColumn id="19" name="R²"/>
    <tableColumn id="20" name="调整R²"/>
  </tableColumns>
  <tableStyleInfo name="TableStyleMedium2" showFirstColumn="0" showLastColumn="0" showRowStripes="1" showColumnStripes="0"/>
</table>
</file>

<file path=xl/tables/table12.xml><?xml version="1.0" encoding="utf-8"?>
<table xmlns="http://schemas.openxmlformats.org/spreadsheetml/2006/main" id="12" name="PrivacyEvidenceTable" displayName="PrivacyEvidenceTable" ref="A4:M8" headerRowCount="1" totalsRowCount="0" totalsRowShown="0">
  <tableColumns count="13">
    <tableColumn id="1" name="来源/案例"/>
    <tableColumn id="2" name="研究对象"/>
    <tableColumn id="3" name="平台"/>
    <tableColumn id="4" name="地区"/>
    <tableColumn id="5" name="样本量"/>
    <tableColumn id="6" name="分子"/>
    <tableColumn id="7" name="分母"/>
    <tableColumn id="8" name="实际终点"/>
    <tableColumn id="9" name="研究方法"/>
    <tableColumn id="10" name="证据类型"/>
    <tableColumn id="11" name="可比性限制"/>
    <tableColumn id="12" name="原始链接"/>
    <tableColumn id="13" name="后续整改/状态"/>
  </tableColumns>
  <tableStyleInfo name="TableStyleMedium2" showFirstColumn="0" showLastColumn="0" showRowStripes="1" showColumnStripes="0"/>
</table>
</file>

<file path=xl/tables/table13.xml><?xml version="1.0" encoding="utf-8"?>
<table xmlns="http://schemas.openxmlformats.org/spreadsheetml/2006/main" id="13" name="QualityChecksTable" displayName="QualityChecksTable" ref="A4:C13" headerRowCount="1" totalsRowCount="0" totalsRowShown="0">
  <tableColumns count="3">
    <tableColumn id="1" name="检查项目"/>
    <tableColumn id="2" name="状态"/>
    <tableColumn id="3" name="含义"/>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api.worldbank.org/v2/country/all/indicator/SH.STA.MMRT?format=json&amp;per_page=20000" TargetMode="External" Id="rId1"/><Relationship Type="http://schemas.openxmlformats.org/officeDocument/2006/relationships/hyperlink" Target="https://api.worldbank.org/v2/country/all/indicator/NY.GDP.PCAP.PP.KD?format=json&amp;per_page=20000" TargetMode="External" Id="rId2"/><Relationship Type="http://schemas.openxmlformats.org/officeDocument/2006/relationships/hyperlink" Target="https://api.worldbank.org/v2/country/all/indicator/SP.DYN.CONU.ZS?format=json&amp;per_page=20000" TargetMode="External" Id="rId3"/><Relationship Type="http://schemas.openxmlformats.org/officeDocument/2006/relationships/hyperlink" Target="https://archive.ourworldindata.org/20260805-143540/grapher/political-regime.html" TargetMode="External" Id="rId4"/><Relationship Type="http://schemas.openxmlformats.org/officeDocument/2006/relationships/table" Target="/xl/tables/table2.xml" Id="rId5"/></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 Type="http://schemas.openxmlformats.org/officeDocument/2006/relationships/table" Target="/xl/tables/table6.xml" Id="rId2"/></Relationships>
</file>

<file path=xl/worksheets/_rels/sheet6.xml.rels><Relationships xmlns="http://schemas.openxmlformats.org/package/2006/relationships"><Relationship Type="http://schemas.openxmlformats.org/officeDocument/2006/relationships/table" Target="/xl/tables/table7.xml" Id="rId1"/></Relationships>
</file>

<file path=xl/worksheets/_rels/sheet7.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s>
</file>

<file path=xl/worksheets/_rels/sheet8.xml.rels><Relationships xmlns="http://schemas.openxmlformats.org/package/2006/relationships"><Relationship Type="http://schemas.openxmlformats.org/officeDocument/2006/relationships/table" Target="/xl/tables/table10.xml" Id="rId1"/></Relationships>
</file>

<file path=xl/worksheets/_rels/sheet9.xml.rels><Relationships xmlns="http://schemas.openxmlformats.org/package/2006/relationships"><Relationship Type="http://schemas.openxmlformats.org/officeDocument/2006/relationships/table" Target="/xl/tables/table11.xml" Id="rId1"/></Relationships>
</file>

<file path=xl/worksheets/_rels/sheet10.xml.rels><Relationships xmlns="http://schemas.openxmlformats.org/package/2006/relationships"><Relationship Type="http://schemas.openxmlformats.org/officeDocument/2006/relationships/hyperlink" Target="https://www.mozillafoundation.org/en/blog/in-post-roe-v-wade-era-mozilla-labels-18-of-25-popular-period-and-pregnancy-tracking-tech-with-privacy-not-included-warning/" TargetMode="External" Id="rId1"/><Relationship Type="http://schemas.openxmlformats.org/officeDocument/2006/relationships/hyperlink" Target="https://www.bmj.com/content/364/bmj.l920" TargetMode="External" Id="rId2"/><Relationship Type="http://schemas.openxmlformats.org/officeDocument/2006/relationships/hyperlink" Target="https://www.ftc.gov/news-events/news/press-releases/2021/06/ftc-finalizes-order-flo-health-fertility-tracking-app-shared-sensitive-health-data-facebook-google" TargetMode="External" Id="rId3"/><Relationship Type="http://schemas.openxmlformats.org/officeDocument/2006/relationships/hyperlink" Target="https://www.ftc.gov/news-events/news/press-releases/2023/05/ovulation-tracking-app-premom-will-be-barred-sharing-health-data-advertising-under-proposed-ftc" TargetMode="External" Id="rId4"/><Relationship Type="http://schemas.openxmlformats.org/officeDocument/2006/relationships/table" Target="/xl/tables/table12.xml" Id="rId5"/></Relationships>
</file>

<file path=xl/worksheets/_rels/sheet11.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fitToPage="1"/>
  </sheetPr>
  <dimension ref="A1:Q13"/>
  <sheetViews>
    <sheetView showGridLines="1" workbookViewId="0">
      <selection activeCell="A1" sqref="A1"/>
    </sheetView>
  </sheetViews>
  <sheetFormatPr baseColWidth="8" defaultRowHeight="15"/>
  <cols>
    <col width="20" customWidth="1" min="1" max="1"/>
    <col width="105" customWidth="1" min="2" max="2"/>
  </cols>
  <sheetData>
    <row r="1" ht="30" customHeight="1">
      <c r="A1" s="42" t="inlineStr">
        <is>
          <t>FemTech 与生殖健康：跨国分析数据底稿（附件二）</t>
        </is>
      </c>
    </row>
    <row r="2" ht="32" customHeight="1">
      <c r="A2" s="44" t="inlineStr">
        <is>
          <t>两条证据链并列呈现：跨国模型检验政治体制类型与生殖健康结果的生态关联；隐私证据独立综述应用审计与执法案例。两者不合并，也不在国家层面相互连接。</t>
        </is>
      </c>
    </row>
    <row r="3">
      <c r="A3" s="43" t="n"/>
      <c r="B3" s="43" t="n"/>
    </row>
    <row r="4" ht="34" customHeight="1">
      <c r="A4" s="45" t="inlineStr">
        <is>
          <t>项目</t>
        </is>
      </c>
      <c r="B4" s="46" t="inlineStr">
        <is>
          <t>说明</t>
        </is>
      </c>
    </row>
    <row r="5" ht="34" customHeight="1">
      <c r="A5" s="47" t="inlineStr">
        <is>
          <t>论文定位</t>
        </is>
      </c>
      <c r="B5" s="48" t="inlineStr">
        <is>
          <t>跨国部分仅检验政治体制类型与生殖健康结果的生态关联；隐私部分独立综述应用审计与执法证据。</t>
        </is>
      </c>
    </row>
    <row r="6" ht="34" customHeight="1">
      <c r="A6" s="47" t="inlineStr">
        <is>
          <t>分析总体</t>
        </is>
      </c>
      <c r="B6" s="48" t="inlineStr">
        <is>
          <t>167国分析总体。2023年OWID存档政治体制序列无统一PSE观测值，因此含政治体制的模型 n=166，CPR 模型 n=138。</t>
        </is>
      </c>
    </row>
    <row r="7" ht="34" customHeight="1">
      <c r="A7" s="47" t="inlineStr">
        <is>
          <t>主要规格</t>
        </is>
      </c>
      <c r="B7" s="48" t="inlineStr">
        <is>
          <t>log(MMR) ~ 政治体制有序趋势 + logGDP；CPR ~ 政治体制有序趋势 + logGDP。HC3为主要推断，经典OLS并列。</t>
        </is>
      </c>
    </row>
    <row r="8" ht="34" customHeight="1">
      <c r="A8" s="47" t="inlineStr">
        <is>
          <t>有序假设</t>
        </is>
      </c>
      <c r="B8" s="48" t="inlineStr">
        <is>
          <t>政治体制0/1/2/3被视为等距线性趋势；三个虚拟变量模型作为放松等距假设的敏感性分析。</t>
        </is>
      </c>
    </row>
    <row r="9" ht="34" customHeight="1">
      <c r="A9" s="47" t="inlineStr">
        <is>
          <t>CPR规则</t>
        </is>
      </c>
      <c r="B9" s="48" t="inlineStr">
        <is>
          <t>主样本采用2010–2023年最新非缺失值并逐国保留年份；另做2015–2023限制样本与加入观测年份的敏感性分析。</t>
        </is>
      </c>
    </row>
    <row r="10" ht="34" customHeight="1">
      <c r="A10" s="47" t="inlineStr">
        <is>
          <t>缺失风险</t>
        </is>
      </c>
      <c r="B10" s="48" t="inlineStr">
        <is>
          <t>CPR缺失可能非随机，且在自由民主组集中。HC3只处理异方差，不处理选择性缺失。</t>
        </is>
      </c>
    </row>
    <row r="11" ht="34" customHeight="1">
      <c r="A11" s="47" t="inlineStr">
        <is>
          <t>数据与版本</t>
        </is>
      </c>
      <c r="B11" s="48" t="inlineStr">
        <is>
          <t>政治体制锁定OWID 2026-08-05官方存档（V-Dem v16）；WDI JSON快照保留SHA-256。</t>
        </is>
      </c>
    </row>
    <row r="12" ht="34" customHeight="1">
      <c r="A12" s="47" t="inlineStr">
        <is>
          <t>推论边界</t>
        </is>
      </c>
      <c r="B12" s="48" t="inlineStr">
        <is>
          <t>本工作簿中的国别模型只描述政治体制类型与生殖健康结果之间的生态关联。模型未检验隐私法效应，也未建立 FemTech 采用或隐私事件与政治体制之间的国家层面联系。</t>
        </is>
      </c>
    </row>
    <row r="13" ht="34" customHeight="1">
      <c r="A13" s="47" t="n"/>
      <c r="B13" s="48" t="n"/>
    </row>
  </sheetData>
  <mergeCells count="2">
    <mergeCell ref="A2:Q2"/>
    <mergeCell ref="A1:Q1"/>
  </mergeCells>
  <pageMargins left="0.7" right="0.7" top="0.75" bottom="0.75" header="0.3" footer="0.3"/>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Q10"/>
  <sheetViews>
    <sheetView showGridLines="1" workbookViewId="0">
      <selection activeCell="A1" sqref="A1"/>
    </sheetView>
  </sheetViews>
  <sheetFormatPr baseColWidth="8" defaultRowHeight="15"/>
  <cols>
    <col width="27" customWidth="1" min="1" max="1"/>
    <col width="34" customWidth="1" min="2" max="2"/>
    <col width="38" customWidth="1" min="3" max="3"/>
    <col width="14" customWidth="1" min="4" max="4"/>
    <col width="88" customWidth="1" min="5" max="5"/>
    <col width="62" customWidth="1" min="6" max="6"/>
    <col width="40" customWidth="1" min="7" max="7"/>
    <col width="54" customWidth="1" min="8" max="8"/>
    <col width="34" customWidth="1" min="9" max="9"/>
    <col width="78" customWidth="1" min="10" max="10"/>
  </cols>
  <sheetData>
    <row r="1" ht="30" customHeight="1">
      <c r="A1" s="42" t="inlineStr">
        <is>
          <t>数据源登记表</t>
        </is>
      </c>
    </row>
    <row r="2" ht="32" customHeight="1">
      <c r="A2" s="44" t="inlineStr">
        <is>
          <t>完整URL、版本、日期、口径、原始文件名与SHA-256均为可追溯的审计字段。</t>
        </is>
      </c>
    </row>
    <row r="3">
      <c r="A3" s="43" t="n"/>
      <c r="B3" s="43" t="n"/>
      <c r="C3" s="43" t="n"/>
      <c r="D3" s="43" t="n"/>
      <c r="E3" s="43" t="n"/>
      <c r="F3" s="43" t="n"/>
      <c r="G3" s="43" t="n"/>
      <c r="H3" s="43" t="n"/>
      <c r="I3" s="43" t="n"/>
      <c r="J3" s="43" t="n"/>
    </row>
    <row r="4" ht="42" customHeight="1">
      <c r="A4" s="46" t="inlineStr">
        <is>
          <t>数据集</t>
        </is>
      </c>
      <c r="B4" s="46" t="inlineStr">
        <is>
          <t>来源机构</t>
        </is>
      </c>
      <c r="C4" s="46" t="inlineStr">
        <is>
          <t>版本/存档</t>
        </is>
      </c>
      <c r="D4" s="46" t="inlineStr">
        <is>
          <t>下载日期</t>
        </is>
      </c>
      <c r="E4" s="46" t="inlineStr">
        <is>
          <t>完整URL</t>
        </is>
      </c>
      <c r="F4" s="46" t="inlineStr">
        <is>
          <t>查询范围</t>
        </is>
      </c>
      <c r="G4" s="46" t="inlineStr">
        <is>
          <t>单位</t>
        </is>
      </c>
      <c r="H4" s="46" t="inlineStr">
        <is>
          <t>观测年份规则</t>
        </is>
      </c>
      <c r="I4" s="46" t="inlineStr">
        <is>
          <t>原始文件名</t>
        </is>
      </c>
      <c r="J4" s="46" t="inlineStr">
        <is>
          <t>SHA-256</t>
        </is>
      </c>
    </row>
    <row r="5" ht="72" customHeight="1">
      <c r="A5" s="48" t="inlineStr">
        <is>
          <t>Maternal mortality ratio</t>
        </is>
      </c>
      <c r="B5" s="48" t="inlineStr">
        <is>
          <t>World Bank, World Development Indicators</t>
        </is>
      </c>
      <c r="C5" s="48" t="inlineStr">
        <is>
          <t>API snapshot; last updated 2026-07-13</t>
        </is>
      </c>
      <c r="D5" s="48" t="inlineStr">
        <is>
          <t>2026-09-03</t>
        </is>
      </c>
      <c r="E5" s="84" t="inlineStr">
        <is>
          <t>https://api.worldbank.org/v2/country/all/indicator/SH.STA.MMRT?format=json&amp;per_page=20000</t>
        </is>
      </c>
      <c r="F5" s="48" t="inlineStr">
        <is>
          <t>All economies; latest non-missing observation in 2010-2023 for the retained 167-country analytic sample</t>
        </is>
      </c>
      <c r="G5" s="48" t="inlineStr">
        <is>
          <t>Maternal deaths per 100,000 live births</t>
        </is>
      </c>
      <c r="H5" s="48" t="inlineStr">
        <is>
          <t>Latest non-missing value, 2010-2023</t>
        </is>
      </c>
      <c r="I5" s="48" t="inlineStr">
        <is>
          <t>mmr.json</t>
        </is>
      </c>
      <c r="J5" s="48" t="inlineStr">
        <is>
          <t>d19e18021c680f5f910b13c9d9f93d4219824cc5b0f44350e1b69e8840b07c73</t>
        </is>
      </c>
    </row>
    <row r="6" ht="72" customHeight="1">
      <c r="A6" s="48" t="inlineStr">
        <is>
          <t>GDP per capita, PPP</t>
        </is>
      </c>
      <c r="B6" s="48" t="inlineStr">
        <is>
          <t>World Bank, World Development Indicators</t>
        </is>
      </c>
      <c r="C6" s="48" t="inlineStr">
        <is>
          <t>API snapshot; last updated 2026-07-13</t>
        </is>
      </c>
      <c r="D6" s="48" t="inlineStr">
        <is>
          <t>2026-09-03</t>
        </is>
      </c>
      <c r="E6" s="84" t="inlineStr">
        <is>
          <t>https://api.worldbank.org/v2/country/all/indicator/NY.GDP.PCAP.PP.KD?format=json&amp;per_page=20000</t>
        </is>
      </c>
      <c r="F6" s="48" t="inlineStr">
        <is>
          <t>All economies; latest non-missing observation in 2010-2023 for the retained 167-country analytic sample</t>
        </is>
      </c>
      <c r="G6" s="48" t="inlineStr">
        <is>
          <t>Constant 2021 international dollars per person</t>
        </is>
      </c>
      <c r="H6" s="48" t="inlineStr">
        <is>
          <t>Latest non-missing value, 2010-2023; log generated as LN(raw GDP)</t>
        </is>
      </c>
      <c r="I6" s="48" t="inlineStr">
        <is>
          <t>gdp.json</t>
        </is>
      </c>
      <c r="J6" s="48" t="inlineStr">
        <is>
          <t>c610e48829239b4b7fbdae26883093fa70f0c2e4cff6845d314beec722c7f6a5</t>
        </is>
      </c>
    </row>
    <row r="7" ht="72" customHeight="1">
      <c r="A7" s="48" t="inlineStr">
        <is>
          <t>Contraceptive prevalence, any method</t>
        </is>
      </c>
      <c r="B7" s="48" t="inlineStr">
        <is>
          <t>World Bank, World Development Indicators</t>
        </is>
      </c>
      <c r="C7" s="48" t="inlineStr">
        <is>
          <t>API snapshot; last updated 2026-07-13</t>
        </is>
      </c>
      <c r="D7" s="48" t="inlineStr">
        <is>
          <t>2026-09-03</t>
        </is>
      </c>
      <c r="E7" s="84" t="inlineStr">
        <is>
          <t>https://api.worldbank.org/v2/country/all/indicator/SP.DYN.CONU.ZS?format=json&amp;per_page=20000</t>
        </is>
      </c>
      <c r="F7" s="48" t="inlineStr">
        <is>
          <t>All economies; latest non-missing observation in 2010-2023 for the retained 167-country analytic sample</t>
        </is>
      </c>
      <c r="G7" s="48" t="inlineStr">
        <is>
          <t>% of married women ages 15-49</t>
        </is>
      </c>
      <c r="H7" s="48" t="inlineStr">
        <is>
          <t>Latest non-missing value, 2010-2023; missing retained and flagged</t>
        </is>
      </c>
      <c r="I7" s="48" t="inlineStr">
        <is>
          <t>cpr.json</t>
        </is>
      </c>
      <c r="J7" s="48" t="inlineStr">
        <is>
          <t>260237f909d0f09b84eae91b3746403ffaec82199b23c02a0669e9ff28cc76e5</t>
        </is>
      </c>
    </row>
    <row r="8" ht="72" customHeight="1">
      <c r="A8" s="48" t="inlineStr">
        <is>
          <t>Political regime (Regimes of the World)</t>
        </is>
      </c>
      <c r="B8" s="48" t="inlineStr">
        <is>
          <t>V-Dem v16, processed by Our World in Data</t>
        </is>
      </c>
      <c r="C8" s="48" t="inlineStr">
        <is>
          <t>OWID archive 2026-08-05 14:35 UTC; source last updated 2026-03-17</t>
        </is>
      </c>
      <c r="D8" s="48" t="inlineStr">
        <is>
          <t>2026-09-03</t>
        </is>
      </c>
      <c r="E8" s="84" t="inlineStr">
        <is>
          <t>https://archive.ourworldindata.org/20260805-143540/grapher/political-regime.html</t>
        </is>
      </c>
      <c r="F8" s="48" t="inlineStr">
        <is>
          <t>2023 classification for the retained 167-country analytic sample</t>
        </is>
      </c>
      <c r="G8" s="48" t="inlineStr">
        <is>
          <t>0 closed autocracy; 1 electoral autocracy; 2 electoral democracy; 3 liberal democracy</t>
        </is>
      </c>
      <c r="H8" s="48" t="inlineStr">
        <is>
          <t>Fixed at 2023</t>
        </is>
      </c>
      <c r="I8" s="48" t="inlineStr">
        <is>
          <t>1210053.data.json + 1210053.metadata.json</t>
        </is>
      </c>
      <c r="J8" s="48" t="inlineStr">
        <is>
          <t>03b99952aae74eb78cdfaf600be6178eff422356e412447ad43d7f103e5bf1fd / 5b86ddda5ba7f246d1983e12e37e8628258d46eae179e88beed0d9cad822c24d</t>
        </is>
      </c>
    </row>
    <row r="10">
      <c r="A10" s="85" t="inlineStr">
        <is>
          <t>注：表中 SHA-256 为按上述 URL 于「下载日期」抓取的原始文件（WDI 三个 JSON 与 OWID 政治体制数据文件）校验值。重新抓取时若源端已更新，校验值可能不同；验证需使用同日抓取的原始文件。</t>
        </is>
      </c>
    </row>
  </sheetData>
  <mergeCells count="3">
    <mergeCell ref="A2:Q2"/>
    <mergeCell ref="A1:Q1"/>
    <mergeCell ref="A10:F10"/>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s>
  <pageMargins left="0.7" right="0.7" top="0.75" bottom="0.75" header="0.3" footer="0.3"/>
  <pageSetup orientation="landscape" fitToHeight="0" fitToWidth="1"/>
  <tableParts count="1">
    <tablePart xmlns:r="http://schemas.openxmlformats.org/officeDocument/2006/relationships" r:id="rId5"/>
  </tableParts>
</worksheet>
</file>

<file path=xl/worksheets/sheet3.xml><?xml version="1.0" encoding="utf-8"?>
<worksheet xmlns="http://schemas.openxmlformats.org/spreadsheetml/2006/main">
  <sheetPr>
    <outlinePr summaryBelow="1" summaryRight="1"/>
    <pageSetUpPr fitToPage="1"/>
  </sheetPr>
  <dimension ref="A1:S171"/>
  <sheetViews>
    <sheetView showGridLines="1" workbookViewId="0">
      <selection activeCell="A1" sqref="A1"/>
    </sheetView>
  </sheetViews>
  <sheetFormatPr baseColWidth="8" defaultRowHeight="15"/>
  <cols>
    <col width="10" customWidth="1" min="1" max="1"/>
    <col width="25" customWidth="1" min="2" max="2"/>
    <col width="11" customWidth="1" min="3" max="3"/>
    <col width="11" customWidth="1" min="4" max="4"/>
    <col width="18" customWidth="1" min="5" max="5"/>
    <col width="11" customWidth="1" min="6" max="6"/>
    <col width="17" customWidth="1" min="7" max="7"/>
    <col width="16" customWidth="1" min="8" max="8"/>
    <col width="25" customWidth="1" min="9" max="9"/>
    <col width="12" customWidth="1" min="10" max="10"/>
    <col width="12" customWidth="1" min="11" max="11"/>
    <col width="12" customWidth="1" min="12" max="12"/>
    <col width="22" customWidth="1" min="13" max="13"/>
    <col width="18" customWidth="1" min="14" max="14"/>
    <col width="11" customWidth="1" min="15" max="15"/>
    <col width="11" customWidth="1" min="16" max="16"/>
    <col width="11" customWidth="1" min="17" max="17"/>
    <col width="16" customWidth="1" min="18" max="18"/>
    <col width="72" customWidth="1" min="19" max="19"/>
  </cols>
  <sheetData>
    <row r="1" ht="30" customHeight="1">
      <c r="A1" s="42" t="inlineStr">
        <is>
          <t>跨国逐国审计底稿</t>
        </is>
      </c>
      <c r="R1" s="43" t="n"/>
      <c r="S1" s="43" t="n"/>
    </row>
    <row r="2" ht="32" customHeight="1">
      <c r="A2" s="44" t="inlineStr">
        <is>
          <t>每行一国；黄色列为公式生成。PSE保留在167国审计总体中，但2023年无统一政治体制观测。</t>
        </is>
      </c>
      <c r="R2" s="43" t="n"/>
      <c r="S2" s="43" t="n"/>
    </row>
    <row r="3">
      <c r="A3" s="43" t="n"/>
      <c r="B3" s="43" t="n"/>
      <c r="C3" s="43" t="n"/>
      <c r="D3" s="43" t="n"/>
      <c r="E3" s="43" t="n"/>
      <c r="F3" s="43" t="n"/>
      <c r="G3" s="43" t="n"/>
      <c r="H3" s="43" t="n"/>
      <c r="I3" s="43" t="n"/>
      <c r="J3" s="43" t="n"/>
      <c r="K3" s="43" t="n"/>
      <c r="L3" s="43" t="n"/>
      <c r="M3" s="43" t="n"/>
      <c r="N3" s="43" t="n"/>
      <c r="O3" s="43" t="n"/>
      <c r="P3" s="43" t="n"/>
      <c r="Q3" s="43" t="n"/>
      <c r="R3" s="43" t="n"/>
      <c r="S3" s="43" t="n"/>
    </row>
    <row r="4" ht="52" customHeight="1">
      <c r="A4" s="46" t="inlineStr">
        <is>
          <t>ISO3</t>
        </is>
      </c>
      <c r="B4" s="46" t="inlineStr">
        <is>
          <t>国家</t>
        </is>
      </c>
      <c r="C4" s="46" t="inlineStr">
        <is>
          <t>MMR</t>
        </is>
      </c>
      <c r="D4" s="46" t="inlineStr">
        <is>
          <t>MMR年份</t>
        </is>
      </c>
      <c r="E4" s="46" t="inlineStr">
        <is>
          <t>原始GDP</t>
        </is>
      </c>
      <c r="F4" s="46" t="inlineStr">
        <is>
          <t>GDP年份</t>
        </is>
      </c>
      <c r="G4" s="46" t="inlineStr">
        <is>
          <t>logGDP（公式）</t>
        </is>
      </c>
      <c r="H4" s="46" t="inlineStr">
        <is>
          <t>政治体制代码</t>
        </is>
      </c>
      <c r="I4" s="46" t="inlineStr">
        <is>
          <t>文字类别</t>
        </is>
      </c>
      <c r="J4" s="46" t="inlineStr">
        <is>
          <t>政治体制年份</t>
        </is>
      </c>
      <c r="K4" s="46" t="inlineStr">
        <is>
          <t>CPR</t>
        </is>
      </c>
      <c r="L4" s="46" t="inlineStr">
        <is>
          <t>CPR年份</t>
        </is>
      </c>
      <c r="M4" s="46" t="inlineStr">
        <is>
          <t>CPR缺失标记（公式）</t>
        </is>
      </c>
      <c r="N4" s="46" t="inlineStr">
        <is>
          <t>log(MMR)（公式）</t>
        </is>
      </c>
      <c r="O4" s="46" t="inlineStr">
        <is>
          <t>Regime=1</t>
        </is>
      </c>
      <c r="P4" s="46" t="inlineStr">
        <is>
          <t>Regime=2</t>
        </is>
      </c>
      <c r="Q4" s="46" t="inlineStr">
        <is>
          <t>Regime=3</t>
        </is>
      </c>
      <c r="R4" s="46" t="inlineStr">
        <is>
          <t>CPR年份-2018</t>
        </is>
      </c>
      <c r="S4" s="46" t="inlineStr">
        <is>
          <t>审计备注</t>
        </is>
      </c>
    </row>
    <row r="5">
      <c r="A5" s="49" t="inlineStr">
        <is>
          <t>AFG</t>
        </is>
      </c>
      <c r="B5" s="49" t="inlineStr">
        <is>
          <t>Afghanistan</t>
        </is>
      </c>
      <c r="C5" s="69" t="n">
        <v>521</v>
      </c>
      <c r="D5" s="49" t="n">
        <v>2023</v>
      </c>
      <c r="E5" s="70" t="n">
        <v>1983.81261992909</v>
      </c>
      <c r="F5" s="49" t="n">
        <v>2023</v>
      </c>
      <c r="G5" s="71">
        <f>LN(E5)</f>
        <v/>
      </c>
      <c r="H5" s="49" t="n">
        <v>0</v>
      </c>
      <c r="I5" s="49" t="inlineStr">
        <is>
          <t>Closed autocracy</t>
        </is>
      </c>
      <c r="J5" s="49" t="n">
        <v>2023</v>
      </c>
      <c r="K5" s="72" t="n">
        <v>22.5</v>
      </c>
      <c r="L5" s="49" t="n">
        <v>2015</v>
      </c>
      <c r="M5" s="54">
        <f>IF(K5="","Missing","Observed")</f>
        <v/>
      </c>
      <c r="N5" s="71">
        <f>LN(C5)</f>
        <v/>
      </c>
      <c r="O5" s="49">
        <f>IF($H5=1,1,0)</f>
        <v/>
      </c>
      <c r="P5" s="49">
        <f>IF($H5=2,1,0)</f>
        <v/>
      </c>
      <c r="Q5" s="49">
        <f>IF($H5=3,1,0)</f>
        <v/>
      </c>
      <c r="R5" s="49">
        <f>IF($L5="","",$L5-2018)</f>
        <v/>
      </c>
      <c r="S5" s="49" t="str"/>
    </row>
    <row r="6">
      <c r="A6" s="49" t="inlineStr">
        <is>
          <t>ALB</t>
        </is>
      </c>
      <c r="B6" s="49" t="inlineStr">
        <is>
          <t>Albania</t>
        </is>
      </c>
      <c r="C6" s="69" t="n">
        <v>7</v>
      </c>
      <c r="D6" s="49" t="n">
        <v>2023</v>
      </c>
      <c r="E6" s="70" t="n">
        <v>20501.6470726741</v>
      </c>
      <c r="F6" s="49" t="n">
        <v>2023</v>
      </c>
      <c r="G6" s="71">
        <f>LN(E6)</f>
        <v/>
      </c>
      <c r="H6" s="49" t="n">
        <v>2</v>
      </c>
      <c r="I6" s="49" t="inlineStr">
        <is>
          <t>Electoral democracy</t>
        </is>
      </c>
      <c r="J6" s="49" t="n">
        <v>2023</v>
      </c>
      <c r="K6" s="72" t="n">
        <v>46</v>
      </c>
      <c r="L6" s="49" t="n">
        <v>2018</v>
      </c>
      <c r="M6" s="54">
        <f>IF(K6="","Missing","Observed")</f>
        <v/>
      </c>
      <c r="N6" s="71">
        <f>LN(C6)</f>
        <v/>
      </c>
      <c r="O6" s="49">
        <f>IF($H6=1,1,0)</f>
        <v/>
      </c>
      <c r="P6" s="49">
        <f>IF($H6=2,1,0)</f>
        <v/>
      </c>
      <c r="Q6" s="49">
        <f>IF($H6=3,1,0)</f>
        <v/>
      </c>
      <c r="R6" s="49">
        <f>IF($L6="","",$L6-2018)</f>
        <v/>
      </c>
      <c r="S6" s="49" t="str"/>
    </row>
    <row r="7">
      <c r="A7" s="49" t="inlineStr">
        <is>
          <t>DZA</t>
        </is>
      </c>
      <c r="B7" s="49" t="inlineStr">
        <is>
          <t>Algeria</t>
        </is>
      </c>
      <c r="C7" s="69" t="n">
        <v>62</v>
      </c>
      <c r="D7" s="49" t="n">
        <v>2023</v>
      </c>
      <c r="E7" s="70" t="n">
        <v>15159.3242373415</v>
      </c>
      <c r="F7" s="49" t="n">
        <v>2023</v>
      </c>
      <c r="G7" s="71">
        <f>LN(E7)</f>
        <v/>
      </c>
      <c r="H7" s="49" t="n">
        <v>1</v>
      </c>
      <c r="I7" s="49" t="inlineStr">
        <is>
          <t>Electoral autocracy</t>
        </is>
      </c>
      <c r="J7" s="49" t="n">
        <v>2023</v>
      </c>
      <c r="K7" s="72" t="n">
        <v>53.6</v>
      </c>
      <c r="L7" s="49" t="n">
        <v>2019</v>
      </c>
      <c r="M7" s="54">
        <f>IF(K7="","Missing","Observed")</f>
        <v/>
      </c>
      <c r="N7" s="71">
        <f>LN(C7)</f>
        <v/>
      </c>
      <c r="O7" s="49">
        <f>IF($H7=1,1,0)</f>
        <v/>
      </c>
      <c r="P7" s="49">
        <f>IF($H7=2,1,0)</f>
        <v/>
      </c>
      <c r="Q7" s="49">
        <f>IF($H7=3,1,0)</f>
        <v/>
      </c>
      <c r="R7" s="49">
        <f>IF($L7="","",$L7-2018)</f>
        <v/>
      </c>
      <c r="S7" s="49" t="str"/>
    </row>
    <row r="8">
      <c r="A8" s="49" t="inlineStr">
        <is>
          <t>AGO</t>
        </is>
      </c>
      <c r="B8" s="49" t="inlineStr">
        <is>
          <t>Angola</t>
        </is>
      </c>
      <c r="C8" s="69" t="n">
        <v>183</v>
      </c>
      <c r="D8" s="49" t="n">
        <v>2023</v>
      </c>
      <c r="E8" s="70" t="n">
        <v>8597.538787875539</v>
      </c>
      <c r="F8" s="49" t="n">
        <v>2023</v>
      </c>
      <c r="G8" s="71">
        <f>LN(E8)</f>
        <v/>
      </c>
      <c r="H8" s="49" t="n">
        <v>1</v>
      </c>
      <c r="I8" s="49" t="inlineStr">
        <is>
          <t>Electoral autocracy</t>
        </is>
      </c>
      <c r="J8" s="49" t="n">
        <v>2023</v>
      </c>
      <c r="K8" s="72" t="n">
        <v>13.7</v>
      </c>
      <c r="L8" s="49" t="n">
        <v>2016</v>
      </c>
      <c r="M8" s="54">
        <f>IF(K8="","Missing","Observed")</f>
        <v/>
      </c>
      <c r="N8" s="71">
        <f>LN(C8)</f>
        <v/>
      </c>
      <c r="O8" s="49">
        <f>IF($H8=1,1,0)</f>
        <v/>
      </c>
      <c r="P8" s="49">
        <f>IF($H8=2,1,0)</f>
        <v/>
      </c>
      <c r="Q8" s="49">
        <f>IF($H8=3,1,0)</f>
        <v/>
      </c>
      <c r="R8" s="49">
        <f>IF($L8="","",$L8-2018)</f>
        <v/>
      </c>
      <c r="S8" s="49" t="str"/>
    </row>
    <row r="9">
      <c r="A9" s="49" t="inlineStr">
        <is>
          <t>ARG</t>
        </is>
      </c>
      <c r="B9" s="49" t="inlineStr">
        <is>
          <t>Argentina</t>
        </is>
      </c>
      <c r="C9" s="69" t="n">
        <v>33</v>
      </c>
      <c r="D9" s="49" t="n">
        <v>2023</v>
      </c>
      <c r="E9" s="70" t="n">
        <v>27230.3968496682</v>
      </c>
      <c r="F9" s="49" t="n">
        <v>2023</v>
      </c>
      <c r="G9" s="71">
        <f>LN(E9)</f>
        <v/>
      </c>
      <c r="H9" s="49" t="n">
        <v>2</v>
      </c>
      <c r="I9" s="49" t="inlineStr">
        <is>
          <t>Electoral democracy</t>
        </is>
      </c>
      <c r="J9" s="49" t="n">
        <v>2023</v>
      </c>
      <c r="K9" s="72" t="n">
        <v>70.10270871758669</v>
      </c>
      <c r="L9" s="49" t="n">
        <v>2020</v>
      </c>
      <c r="M9" s="54">
        <f>IF(K9="","Missing","Observed")</f>
        <v/>
      </c>
      <c r="N9" s="71">
        <f>LN(C9)</f>
        <v/>
      </c>
      <c r="O9" s="49">
        <f>IF($H9=1,1,0)</f>
        <v/>
      </c>
      <c r="P9" s="49">
        <f>IF($H9=2,1,0)</f>
        <v/>
      </c>
      <c r="Q9" s="49">
        <f>IF($H9=3,1,0)</f>
        <v/>
      </c>
      <c r="R9" s="49">
        <f>IF($L9="","",$L9-2018)</f>
        <v/>
      </c>
      <c r="S9" s="49" t="str"/>
    </row>
    <row r="10">
      <c r="A10" s="49" t="inlineStr">
        <is>
          <t>ARM</t>
        </is>
      </c>
      <c r="B10" s="49" t="inlineStr">
        <is>
          <t>Armenia</t>
        </is>
      </c>
      <c r="C10" s="69" t="n">
        <v>19</v>
      </c>
      <c r="D10" s="49" t="n">
        <v>2023</v>
      </c>
      <c r="E10" s="70" t="n">
        <v>19402.7510915578</v>
      </c>
      <c r="F10" s="49" t="n">
        <v>2023</v>
      </c>
      <c r="G10" s="71">
        <f>LN(E10)</f>
        <v/>
      </c>
      <c r="H10" s="49" t="n">
        <v>2</v>
      </c>
      <c r="I10" s="49" t="inlineStr">
        <is>
          <t>Electoral democracy</t>
        </is>
      </c>
      <c r="J10" s="49" t="n">
        <v>2023</v>
      </c>
      <c r="K10" s="72" t="n">
        <v>57.1</v>
      </c>
      <c r="L10" s="49" t="n">
        <v>2016</v>
      </c>
      <c r="M10" s="54">
        <f>IF(K10="","Missing","Observed")</f>
        <v/>
      </c>
      <c r="N10" s="71">
        <f>LN(C10)</f>
        <v/>
      </c>
      <c r="O10" s="49">
        <f>IF($H10=1,1,0)</f>
        <v/>
      </c>
      <c r="P10" s="49">
        <f>IF($H10=2,1,0)</f>
        <v/>
      </c>
      <c r="Q10" s="49">
        <f>IF($H10=3,1,0)</f>
        <v/>
      </c>
      <c r="R10" s="49">
        <f>IF($L10="","",$L10-2018)</f>
        <v/>
      </c>
      <c r="S10" s="49" t="str"/>
    </row>
    <row r="11">
      <c r="A11" s="49" t="inlineStr">
        <is>
          <t>AUS</t>
        </is>
      </c>
      <c r="B11" s="49" t="inlineStr">
        <is>
          <t>Australia</t>
        </is>
      </c>
      <c r="C11" s="69" t="n">
        <v>2</v>
      </c>
      <c r="D11" s="49" t="n">
        <v>2023</v>
      </c>
      <c r="E11" s="70" t="n">
        <v>60684.9596204883</v>
      </c>
      <c r="F11" s="49" t="n">
        <v>2023</v>
      </c>
      <c r="G11" s="71">
        <f>LN(E11)</f>
        <v/>
      </c>
      <c r="H11" s="49" t="n">
        <v>3</v>
      </c>
      <c r="I11" s="49" t="inlineStr">
        <is>
          <t>Liberal democracy</t>
        </is>
      </c>
      <c r="J11" s="49" t="n">
        <v>2023</v>
      </c>
      <c r="K11" s="72" t="n">
        <v>66.93000000000001</v>
      </c>
      <c r="L11" s="49" t="n">
        <v>2016</v>
      </c>
      <c r="M11" s="54">
        <f>IF(K11="","Missing","Observed")</f>
        <v/>
      </c>
      <c r="N11" s="71">
        <f>LN(C11)</f>
        <v/>
      </c>
      <c r="O11" s="49">
        <f>IF($H11=1,1,0)</f>
        <v/>
      </c>
      <c r="P11" s="49">
        <f>IF($H11=2,1,0)</f>
        <v/>
      </c>
      <c r="Q11" s="49">
        <f>IF($H11=3,1,0)</f>
        <v/>
      </c>
      <c r="R11" s="49">
        <f>IF($L11="","",$L11-2018)</f>
        <v/>
      </c>
      <c r="S11" s="49" t="str"/>
    </row>
    <row r="12">
      <c r="A12" s="49" t="inlineStr">
        <is>
          <t>AUT</t>
        </is>
      </c>
      <c r="B12" s="49" t="inlineStr">
        <is>
          <t>Austria</t>
        </is>
      </c>
      <c r="C12" s="69" t="n">
        <v>6</v>
      </c>
      <c r="D12" s="49" t="n">
        <v>2023</v>
      </c>
      <c r="E12" s="70" t="n">
        <v>64536.2076307547</v>
      </c>
      <c r="F12" s="49" t="n">
        <v>2023</v>
      </c>
      <c r="G12" s="71">
        <f>LN(E12)</f>
        <v/>
      </c>
      <c r="H12" s="49" t="n">
        <v>3</v>
      </c>
      <c r="I12" s="49" t="inlineStr">
        <is>
          <t>Liberal democracy</t>
        </is>
      </c>
      <c r="J12" s="49" t="n">
        <v>2023</v>
      </c>
      <c r="K12" s="72" t="n">
        <v>65.65257471419871</v>
      </c>
      <c r="L12" s="49" t="n">
        <v>2013</v>
      </c>
      <c r="M12" s="54">
        <f>IF(K12="","Missing","Observed")</f>
        <v/>
      </c>
      <c r="N12" s="71">
        <f>LN(C12)</f>
        <v/>
      </c>
      <c r="O12" s="49">
        <f>IF($H12=1,1,0)</f>
        <v/>
      </c>
      <c r="P12" s="49">
        <f>IF($H12=2,1,0)</f>
        <v/>
      </c>
      <c r="Q12" s="49">
        <f>IF($H12=3,1,0)</f>
        <v/>
      </c>
      <c r="R12" s="49">
        <f>IF($L12="","",$L12-2018)</f>
        <v/>
      </c>
      <c r="S12" s="49" t="str"/>
    </row>
    <row r="13">
      <c r="A13" s="49" t="inlineStr">
        <is>
          <t>AZE</t>
        </is>
      </c>
      <c r="B13" s="49" t="inlineStr">
        <is>
          <t>Azerbaijan</t>
        </is>
      </c>
      <c r="C13" s="69" t="n">
        <v>18</v>
      </c>
      <c r="D13" s="49" t="n">
        <v>2023</v>
      </c>
      <c r="E13" s="70" t="n">
        <v>21310.7386915022</v>
      </c>
      <c r="F13" s="49" t="n">
        <v>2023</v>
      </c>
      <c r="G13" s="71">
        <f>LN(E13)</f>
        <v/>
      </c>
      <c r="H13" s="49" t="n">
        <v>1</v>
      </c>
      <c r="I13" s="49" t="inlineStr">
        <is>
          <t>Electoral autocracy</t>
        </is>
      </c>
      <c r="J13" s="49" t="n">
        <v>2023</v>
      </c>
      <c r="K13" s="72" t="n">
        <v>54.9</v>
      </c>
      <c r="L13" s="49" t="n">
        <v>2011</v>
      </c>
      <c r="M13" s="54">
        <f>IF(K13="","Missing","Observed")</f>
        <v/>
      </c>
      <c r="N13" s="71">
        <f>LN(C13)</f>
        <v/>
      </c>
      <c r="O13" s="49">
        <f>IF($H13=1,1,0)</f>
        <v/>
      </c>
      <c r="P13" s="49">
        <f>IF($H13=2,1,0)</f>
        <v/>
      </c>
      <c r="Q13" s="49">
        <f>IF($H13=3,1,0)</f>
        <v/>
      </c>
      <c r="R13" s="49">
        <f>IF($L13="","",$L13-2018)</f>
        <v/>
      </c>
      <c r="S13" s="49" t="str"/>
    </row>
    <row r="14">
      <c r="A14" s="49" t="inlineStr">
        <is>
          <t>BHR</t>
        </is>
      </c>
      <c r="B14" s="49" t="inlineStr">
        <is>
          <t>Bahrain</t>
        </is>
      </c>
      <c r="C14" s="69" t="n">
        <v>17</v>
      </c>
      <c r="D14" s="49" t="n">
        <v>2023</v>
      </c>
      <c r="E14" s="70" t="n">
        <v>57819.9051831242</v>
      </c>
      <c r="F14" s="49" t="n">
        <v>2023</v>
      </c>
      <c r="G14" s="71">
        <f>LN(E14)</f>
        <v/>
      </c>
      <c r="H14" s="49" t="n">
        <v>0</v>
      </c>
      <c r="I14" s="49" t="inlineStr">
        <is>
          <t>Closed autocracy</t>
        </is>
      </c>
      <c r="J14" s="49" t="n">
        <v>2023</v>
      </c>
      <c r="K14" s="72" t="n"/>
      <c r="L14" s="49" t="n"/>
      <c r="M14" s="54">
        <f>IF(K14="","Missing","Observed")</f>
        <v/>
      </c>
      <c r="N14" s="71">
        <f>LN(C14)</f>
        <v/>
      </c>
      <c r="O14" s="49">
        <f>IF($H14=1,1,0)</f>
        <v/>
      </c>
      <c r="P14" s="49">
        <f>IF($H14=2,1,0)</f>
        <v/>
      </c>
      <c r="Q14" s="49">
        <f>IF($H14=3,1,0)</f>
        <v/>
      </c>
      <c r="R14" s="49">
        <f>IF($L14="","",$L14-2018)</f>
        <v/>
      </c>
      <c r="S14" s="49" t="str"/>
    </row>
    <row r="15">
      <c r="A15" s="49" t="inlineStr">
        <is>
          <t>BGD</t>
        </is>
      </c>
      <c r="B15" s="49" t="inlineStr">
        <is>
          <t>Bangladesh</t>
        </is>
      </c>
      <c r="C15" s="69" t="n">
        <v>115</v>
      </c>
      <c r="D15" s="49" t="n">
        <v>2023</v>
      </c>
      <c r="E15" s="70" t="n">
        <v>8242.39798977242</v>
      </c>
      <c r="F15" s="49" t="n">
        <v>2023</v>
      </c>
      <c r="G15" s="71">
        <f>LN(E15)</f>
        <v/>
      </c>
      <c r="H15" s="49" t="n">
        <v>1</v>
      </c>
      <c r="I15" s="49" t="inlineStr">
        <is>
          <t>Electoral autocracy</t>
        </is>
      </c>
      <c r="J15" s="49" t="n">
        <v>2023</v>
      </c>
      <c r="K15" s="72" t="n">
        <v>64</v>
      </c>
      <c r="L15" s="49" t="n">
        <v>2022</v>
      </c>
      <c r="M15" s="54">
        <f>IF(K15="","Missing","Observed")</f>
        <v/>
      </c>
      <c r="N15" s="71">
        <f>LN(C15)</f>
        <v/>
      </c>
      <c r="O15" s="49">
        <f>IF($H15=1,1,0)</f>
        <v/>
      </c>
      <c r="P15" s="49">
        <f>IF($H15=2,1,0)</f>
        <v/>
      </c>
      <c r="Q15" s="49">
        <f>IF($H15=3,1,0)</f>
        <v/>
      </c>
      <c r="R15" s="49">
        <f>IF($L15="","",$L15-2018)</f>
        <v/>
      </c>
      <c r="S15" s="49" t="str"/>
    </row>
    <row r="16">
      <c r="A16" s="49" t="inlineStr">
        <is>
          <t>BRB</t>
        </is>
      </c>
      <c r="B16" s="49" t="inlineStr">
        <is>
          <t>Barbados</t>
        </is>
      </c>
      <c r="C16" s="69" t="n">
        <v>35</v>
      </c>
      <c r="D16" s="49" t="n">
        <v>2023</v>
      </c>
      <c r="E16" s="70" t="n">
        <v>20865.0155437147</v>
      </c>
      <c r="F16" s="49" t="n">
        <v>2023</v>
      </c>
      <c r="G16" s="71">
        <f>LN(E16)</f>
        <v/>
      </c>
      <c r="H16" s="49" t="n">
        <v>3</v>
      </c>
      <c r="I16" s="49" t="inlineStr">
        <is>
          <t>Liberal democracy</t>
        </is>
      </c>
      <c r="J16" s="49" t="n">
        <v>2023</v>
      </c>
      <c r="K16" s="72" t="n">
        <v>59.20685012</v>
      </c>
      <c r="L16" s="49" t="n">
        <v>2012</v>
      </c>
      <c r="M16" s="54">
        <f>IF(K16="","Missing","Observed")</f>
        <v/>
      </c>
      <c r="N16" s="71">
        <f>LN(C16)</f>
        <v/>
      </c>
      <c r="O16" s="49">
        <f>IF($H16=1,1,0)</f>
        <v/>
      </c>
      <c r="P16" s="49">
        <f>IF($H16=2,1,0)</f>
        <v/>
      </c>
      <c r="Q16" s="49">
        <f>IF($H16=3,1,0)</f>
        <v/>
      </c>
      <c r="R16" s="49">
        <f>IF($L16="","",$L16-2018)</f>
        <v/>
      </c>
      <c r="S16" s="49" t="str"/>
    </row>
    <row r="17">
      <c r="A17" s="49" t="inlineStr">
        <is>
          <t>BLR</t>
        </is>
      </c>
      <c r="B17" s="49" t="inlineStr">
        <is>
          <t>Belarus</t>
        </is>
      </c>
      <c r="C17" s="69" t="n">
        <v>1</v>
      </c>
      <c r="D17" s="49" t="n">
        <v>2023</v>
      </c>
      <c r="E17" s="70" t="n">
        <v>27782.4380139967</v>
      </c>
      <c r="F17" s="49" t="n">
        <v>2023</v>
      </c>
      <c r="G17" s="71">
        <f>LN(E17)</f>
        <v/>
      </c>
      <c r="H17" s="49" t="n">
        <v>1</v>
      </c>
      <c r="I17" s="49" t="inlineStr">
        <is>
          <t>Electoral autocracy</t>
        </is>
      </c>
      <c r="J17" s="49" t="n">
        <v>2023</v>
      </c>
      <c r="K17" s="72" t="n">
        <v>52.6</v>
      </c>
      <c r="L17" s="49" t="n">
        <v>2019</v>
      </c>
      <c r="M17" s="54">
        <f>IF(K17="","Missing","Observed")</f>
        <v/>
      </c>
      <c r="N17" s="71">
        <f>LN(C17)</f>
        <v/>
      </c>
      <c r="O17" s="49">
        <f>IF($H17=1,1,0)</f>
        <v/>
      </c>
      <c r="P17" s="49">
        <f>IF($H17=2,1,0)</f>
        <v/>
      </c>
      <c r="Q17" s="49">
        <f>IF($H17=3,1,0)</f>
        <v/>
      </c>
      <c r="R17" s="49">
        <f>IF($L17="","",$L17-2018)</f>
        <v/>
      </c>
      <c r="S17" s="49" t="str"/>
    </row>
    <row r="18">
      <c r="A18" s="49" t="inlineStr">
        <is>
          <t>BEL</t>
        </is>
      </c>
      <c r="B18" s="49" t="inlineStr">
        <is>
          <t>Belgium</t>
        </is>
      </c>
      <c r="C18" s="69" t="n">
        <v>4</v>
      </c>
      <c r="D18" s="49" t="n">
        <v>2023</v>
      </c>
      <c r="E18" s="70" t="n">
        <v>63042.0099876309</v>
      </c>
      <c r="F18" s="49" t="n">
        <v>2023</v>
      </c>
      <c r="G18" s="71">
        <f>LN(E18)</f>
        <v/>
      </c>
      <c r="H18" s="49" t="n">
        <v>3</v>
      </c>
      <c r="I18" s="49" t="inlineStr">
        <is>
          <t>Liberal democracy</t>
        </is>
      </c>
      <c r="J18" s="49" t="n">
        <v>2023</v>
      </c>
      <c r="K18" s="72" t="n">
        <v>66.7</v>
      </c>
      <c r="L18" s="49" t="n">
        <v>2018</v>
      </c>
      <c r="M18" s="54">
        <f>IF(K18="","Missing","Observed")</f>
        <v/>
      </c>
      <c r="N18" s="71">
        <f>LN(C18)</f>
        <v/>
      </c>
      <c r="O18" s="49">
        <f>IF($H18=1,1,0)</f>
        <v/>
      </c>
      <c r="P18" s="49">
        <f>IF($H18=2,1,0)</f>
        <v/>
      </c>
      <c r="Q18" s="49">
        <f>IF($H18=3,1,0)</f>
        <v/>
      </c>
      <c r="R18" s="49">
        <f>IF($L18="","",$L18-2018)</f>
        <v/>
      </c>
      <c r="S18" s="49" t="str"/>
    </row>
    <row r="19">
      <c r="A19" s="49" t="inlineStr">
        <is>
          <t>BEN</t>
        </is>
      </c>
      <c r="B19" s="49" t="inlineStr">
        <is>
          <t>Benin</t>
        </is>
      </c>
      <c r="C19" s="69" t="n">
        <v>518</v>
      </c>
      <c r="D19" s="49" t="n">
        <v>2023</v>
      </c>
      <c r="E19" s="70" t="n">
        <v>3721.21254814808</v>
      </c>
      <c r="F19" s="49" t="n">
        <v>2023</v>
      </c>
      <c r="G19" s="71">
        <f>LN(E19)</f>
        <v/>
      </c>
      <c r="H19" s="49" t="n">
        <v>1</v>
      </c>
      <c r="I19" s="49" t="inlineStr">
        <is>
          <t>Electoral autocracy</t>
        </is>
      </c>
      <c r="J19" s="49" t="n">
        <v>2023</v>
      </c>
      <c r="K19" s="72" t="n">
        <v>22.4</v>
      </c>
      <c r="L19" s="49" t="n">
        <v>2022</v>
      </c>
      <c r="M19" s="54">
        <f>IF(K19="","Missing","Observed")</f>
        <v/>
      </c>
      <c r="N19" s="71">
        <f>LN(C19)</f>
        <v/>
      </c>
      <c r="O19" s="49">
        <f>IF($H19=1,1,0)</f>
        <v/>
      </c>
      <c r="P19" s="49">
        <f>IF($H19=2,1,0)</f>
        <v/>
      </c>
      <c r="Q19" s="49">
        <f>IF($H19=3,1,0)</f>
        <v/>
      </c>
      <c r="R19" s="49">
        <f>IF($L19="","",$L19-2018)</f>
        <v/>
      </c>
      <c r="S19" s="49" t="str"/>
    </row>
    <row r="20">
      <c r="A20" s="49" t="inlineStr">
        <is>
          <t>BTN</t>
        </is>
      </c>
      <c r="B20" s="49" t="inlineStr">
        <is>
          <t>Bhutan</t>
        </is>
      </c>
      <c r="C20" s="69" t="n">
        <v>47</v>
      </c>
      <c r="D20" s="49" t="n">
        <v>2023</v>
      </c>
      <c r="E20" s="70" t="n">
        <v>14610.2959097837</v>
      </c>
      <c r="F20" s="49" t="n">
        <v>2023</v>
      </c>
      <c r="G20" s="71">
        <f>LN(E20)</f>
        <v/>
      </c>
      <c r="H20" s="49" t="n">
        <v>3</v>
      </c>
      <c r="I20" s="49" t="inlineStr">
        <is>
          <t>Liberal democracy</t>
        </is>
      </c>
      <c r="J20" s="49" t="n">
        <v>2023</v>
      </c>
      <c r="K20" s="72" t="n">
        <v>65.60409679</v>
      </c>
      <c r="L20" s="49" t="n">
        <v>2010</v>
      </c>
      <c r="M20" s="54">
        <f>IF(K20="","Missing","Observed")</f>
        <v/>
      </c>
      <c r="N20" s="71">
        <f>LN(C20)</f>
        <v/>
      </c>
      <c r="O20" s="49">
        <f>IF($H20=1,1,0)</f>
        <v/>
      </c>
      <c r="P20" s="49">
        <f>IF($H20=2,1,0)</f>
        <v/>
      </c>
      <c r="Q20" s="49">
        <f>IF($H20=3,1,0)</f>
        <v/>
      </c>
      <c r="R20" s="49">
        <f>IF($L20="","",$L20-2018)</f>
        <v/>
      </c>
      <c r="S20" s="49" t="str"/>
    </row>
    <row r="21">
      <c r="A21" s="49" t="inlineStr">
        <is>
          <t>BOL</t>
        </is>
      </c>
      <c r="B21" s="49" t="inlineStr">
        <is>
          <t>Bolivia</t>
        </is>
      </c>
      <c r="C21" s="69" t="n">
        <v>146</v>
      </c>
      <c r="D21" s="49" t="n">
        <v>2023</v>
      </c>
      <c r="E21" s="70" t="n">
        <v>11616.1575595159</v>
      </c>
      <c r="F21" s="49" t="n">
        <v>2023</v>
      </c>
      <c r="G21" s="71">
        <f>LN(E21)</f>
        <v/>
      </c>
      <c r="H21" s="49" t="n">
        <v>2</v>
      </c>
      <c r="I21" s="49" t="inlineStr">
        <is>
          <t>Electoral democracy</t>
        </is>
      </c>
      <c r="J21" s="49" t="n">
        <v>2023</v>
      </c>
      <c r="K21" s="72" t="n">
        <v>66.5</v>
      </c>
      <c r="L21" s="49" t="n">
        <v>2016</v>
      </c>
      <c r="M21" s="54">
        <f>IF(K21="","Missing","Observed")</f>
        <v/>
      </c>
      <c r="N21" s="71">
        <f>LN(C21)</f>
        <v/>
      </c>
      <c r="O21" s="49">
        <f>IF($H21=1,1,0)</f>
        <v/>
      </c>
      <c r="P21" s="49">
        <f>IF($H21=2,1,0)</f>
        <v/>
      </c>
      <c r="Q21" s="49">
        <f>IF($H21=3,1,0)</f>
        <v/>
      </c>
      <c r="R21" s="49">
        <f>IF($L21="","",$L21-2018)</f>
        <v/>
      </c>
      <c r="S21" s="49" t="str"/>
    </row>
    <row r="22">
      <c r="A22" s="49" t="inlineStr">
        <is>
          <t>BIH</t>
        </is>
      </c>
      <c r="B22" s="49" t="inlineStr">
        <is>
          <t>Bosnia and Herzegovina</t>
        </is>
      </c>
      <c r="C22" s="69" t="n">
        <v>6</v>
      </c>
      <c r="D22" s="49" t="n">
        <v>2023</v>
      </c>
      <c r="E22" s="70" t="n">
        <v>19804.9181465635</v>
      </c>
      <c r="F22" s="49" t="n">
        <v>2023</v>
      </c>
      <c r="G22" s="71">
        <f>LN(E22)</f>
        <v/>
      </c>
      <c r="H22" s="49" t="n">
        <v>2</v>
      </c>
      <c r="I22" s="49" t="inlineStr">
        <is>
          <t>Electoral democracy</t>
        </is>
      </c>
      <c r="J22" s="49" t="n">
        <v>2023</v>
      </c>
      <c r="K22" s="72" t="n">
        <v>46.01743031</v>
      </c>
      <c r="L22" s="49" t="n">
        <v>2012</v>
      </c>
      <c r="M22" s="54">
        <f>IF(K22="","Missing","Observed")</f>
        <v/>
      </c>
      <c r="N22" s="71">
        <f>LN(C22)</f>
        <v/>
      </c>
      <c r="O22" s="49">
        <f>IF($H22=1,1,0)</f>
        <v/>
      </c>
      <c r="P22" s="49">
        <f>IF($H22=2,1,0)</f>
        <v/>
      </c>
      <c r="Q22" s="49">
        <f>IF($H22=3,1,0)</f>
        <v/>
      </c>
      <c r="R22" s="49">
        <f>IF($L22="","",$L22-2018)</f>
        <v/>
      </c>
      <c r="S22" s="49" t="str"/>
    </row>
    <row r="23">
      <c r="A23" s="49" t="inlineStr">
        <is>
          <t>BWA</t>
        </is>
      </c>
      <c r="B23" s="49" t="inlineStr">
        <is>
          <t>Botswana</t>
        </is>
      </c>
      <c r="C23" s="69" t="n">
        <v>155</v>
      </c>
      <c r="D23" s="49" t="n">
        <v>2023</v>
      </c>
      <c r="E23" s="70" t="n">
        <v>18932.4802712334</v>
      </c>
      <c r="F23" s="49" t="n">
        <v>2023</v>
      </c>
      <c r="G23" s="71">
        <f>LN(E23)</f>
        <v/>
      </c>
      <c r="H23" s="49" t="n">
        <v>2</v>
      </c>
      <c r="I23" s="49" t="inlineStr">
        <is>
          <t>Electoral democracy</t>
        </is>
      </c>
      <c r="J23" s="49" t="n">
        <v>2023</v>
      </c>
      <c r="K23" s="72" t="n">
        <v>67.40000000000001</v>
      </c>
      <c r="L23" s="49" t="n">
        <v>2017</v>
      </c>
      <c r="M23" s="54">
        <f>IF(K23="","Missing","Observed")</f>
        <v/>
      </c>
      <c r="N23" s="71">
        <f>LN(C23)</f>
        <v/>
      </c>
      <c r="O23" s="49">
        <f>IF($H23=1,1,0)</f>
        <v/>
      </c>
      <c r="P23" s="49">
        <f>IF($H23=2,1,0)</f>
        <v/>
      </c>
      <c r="Q23" s="49">
        <f>IF($H23=3,1,0)</f>
        <v/>
      </c>
      <c r="R23" s="49">
        <f>IF($L23="","",$L23-2018)</f>
        <v/>
      </c>
      <c r="S23" s="49" t="str"/>
    </row>
    <row r="24">
      <c r="A24" s="49" t="inlineStr">
        <is>
          <t>BRA</t>
        </is>
      </c>
      <c r="B24" s="49" t="inlineStr">
        <is>
          <t>Brazil</t>
        </is>
      </c>
      <c r="C24" s="69" t="n">
        <v>67</v>
      </c>
      <c r="D24" s="49" t="n">
        <v>2023</v>
      </c>
      <c r="E24" s="70" t="n">
        <v>19079.8122134028</v>
      </c>
      <c r="F24" s="49" t="n">
        <v>2023</v>
      </c>
      <c r="G24" s="71">
        <f>LN(E24)</f>
        <v/>
      </c>
      <c r="H24" s="49" t="n">
        <v>2</v>
      </c>
      <c r="I24" s="49" t="inlineStr">
        <is>
          <t>Electoral democracy</t>
        </is>
      </c>
      <c r="J24" s="49" t="n">
        <v>2023</v>
      </c>
      <c r="K24" s="72" t="n">
        <v>80.2004995714604</v>
      </c>
      <c r="L24" s="49" t="n">
        <v>2013</v>
      </c>
      <c r="M24" s="54">
        <f>IF(K24="","Missing","Observed")</f>
        <v/>
      </c>
      <c r="N24" s="71">
        <f>LN(C24)</f>
        <v/>
      </c>
      <c r="O24" s="49">
        <f>IF($H24=1,1,0)</f>
        <v/>
      </c>
      <c r="P24" s="49">
        <f>IF($H24=2,1,0)</f>
        <v/>
      </c>
      <c r="Q24" s="49">
        <f>IF($H24=3,1,0)</f>
        <v/>
      </c>
      <c r="R24" s="49">
        <f>IF($L24="","",$L24-2018)</f>
        <v/>
      </c>
      <c r="S24" s="49" t="str"/>
    </row>
    <row r="25">
      <c r="A25" s="49" t="inlineStr">
        <is>
          <t>BGR</t>
        </is>
      </c>
      <c r="B25" s="49" t="inlineStr">
        <is>
          <t>Bulgaria</t>
        </is>
      </c>
      <c r="C25" s="69" t="n">
        <v>6</v>
      </c>
      <c r="D25" s="49" t="n">
        <v>2023</v>
      </c>
      <c r="E25" s="70" t="n">
        <v>33073.6803093453</v>
      </c>
      <c r="F25" s="49" t="n">
        <v>2023</v>
      </c>
      <c r="G25" s="71">
        <f>LN(E25)</f>
        <v/>
      </c>
      <c r="H25" s="49" t="n">
        <v>2</v>
      </c>
      <c r="I25" s="49" t="inlineStr">
        <is>
          <t>Electoral democracy</t>
        </is>
      </c>
      <c r="J25" s="49" t="n">
        <v>2023</v>
      </c>
      <c r="K25" s="72" t="n"/>
      <c r="L25" s="49" t="n"/>
      <c r="M25" s="54">
        <f>IF(K25="","Missing","Observed")</f>
        <v/>
      </c>
      <c r="N25" s="71">
        <f>LN(C25)</f>
        <v/>
      </c>
      <c r="O25" s="49">
        <f>IF($H25=1,1,0)</f>
        <v/>
      </c>
      <c r="P25" s="49">
        <f>IF($H25=2,1,0)</f>
        <v/>
      </c>
      <c r="Q25" s="49">
        <f>IF($H25=3,1,0)</f>
        <v/>
      </c>
      <c r="R25" s="49">
        <f>IF($L25="","",$L25-2018)</f>
        <v/>
      </c>
      <c r="S25" s="49" t="str"/>
    </row>
    <row r="26">
      <c r="A26" s="49" t="inlineStr">
        <is>
          <t>BFA</t>
        </is>
      </c>
      <c r="B26" s="49" t="inlineStr">
        <is>
          <t>Burkina Faso</t>
        </is>
      </c>
      <c r="C26" s="69" t="n">
        <v>242</v>
      </c>
      <c r="D26" s="49" t="n">
        <v>2023</v>
      </c>
      <c r="E26" s="70" t="n">
        <v>2486.20669812871</v>
      </c>
      <c r="F26" s="49" t="n">
        <v>2023</v>
      </c>
      <c r="G26" s="71">
        <f>LN(E26)</f>
        <v/>
      </c>
      <c r="H26" s="49" t="n">
        <v>0</v>
      </c>
      <c r="I26" s="49" t="inlineStr">
        <is>
          <t>Closed autocracy</t>
        </is>
      </c>
      <c r="J26" s="49" t="n">
        <v>2023</v>
      </c>
      <c r="K26" s="72" t="n">
        <v>33.9627403568433</v>
      </c>
      <c r="L26" s="49" t="n">
        <v>2022</v>
      </c>
      <c r="M26" s="54">
        <f>IF(K26="","Missing","Observed")</f>
        <v/>
      </c>
      <c r="N26" s="71">
        <f>LN(C26)</f>
        <v/>
      </c>
      <c r="O26" s="49">
        <f>IF($H26=1,1,0)</f>
        <v/>
      </c>
      <c r="P26" s="49">
        <f>IF($H26=2,1,0)</f>
        <v/>
      </c>
      <c r="Q26" s="49">
        <f>IF($H26=3,1,0)</f>
        <v/>
      </c>
      <c r="R26" s="49">
        <f>IF($L26="","",$L26-2018)</f>
        <v/>
      </c>
      <c r="S26" s="49" t="str"/>
    </row>
    <row r="27">
      <c r="A27" s="49" t="inlineStr">
        <is>
          <t>BDI</t>
        </is>
      </c>
      <c r="B27" s="49" t="inlineStr">
        <is>
          <t>Burundi</t>
        </is>
      </c>
      <c r="C27" s="69" t="n">
        <v>392</v>
      </c>
      <c r="D27" s="49" t="n">
        <v>2023</v>
      </c>
      <c r="E27" s="70" t="n">
        <v>1033.00937341776</v>
      </c>
      <c r="F27" s="49" t="n">
        <v>2023</v>
      </c>
      <c r="G27" s="71">
        <f>LN(E27)</f>
        <v/>
      </c>
      <c r="H27" s="49" t="n">
        <v>1</v>
      </c>
      <c r="I27" s="49" t="inlineStr">
        <is>
          <t>Electoral autocracy</t>
        </is>
      </c>
      <c r="J27" s="49" t="n">
        <v>2023</v>
      </c>
      <c r="K27" s="72" t="n">
        <v>28.5</v>
      </c>
      <c r="L27" s="49" t="n">
        <v>2017</v>
      </c>
      <c r="M27" s="54">
        <f>IF(K27="","Missing","Observed")</f>
        <v/>
      </c>
      <c r="N27" s="71">
        <f>LN(C27)</f>
        <v/>
      </c>
      <c r="O27" s="49">
        <f>IF($H27=1,1,0)</f>
        <v/>
      </c>
      <c r="P27" s="49">
        <f>IF($H27=2,1,0)</f>
        <v/>
      </c>
      <c r="Q27" s="49">
        <f>IF($H27=3,1,0)</f>
        <v/>
      </c>
      <c r="R27" s="49">
        <f>IF($L27="","",$L27-2018)</f>
        <v/>
      </c>
      <c r="S27" s="49" t="str"/>
    </row>
    <row r="28">
      <c r="A28" s="49" t="inlineStr">
        <is>
          <t>CPV</t>
        </is>
      </c>
      <c r="B28" s="49" t="inlineStr">
        <is>
          <t>Cabo Verde</t>
        </is>
      </c>
      <c r="C28" s="69" t="n">
        <v>40</v>
      </c>
      <c r="D28" s="49" t="n">
        <v>2023</v>
      </c>
      <c r="E28" s="70" t="n">
        <v>9228.4604533114</v>
      </c>
      <c r="F28" s="49" t="n">
        <v>2023</v>
      </c>
      <c r="G28" s="71">
        <f>LN(E28)</f>
        <v/>
      </c>
      <c r="H28" s="49" t="n">
        <v>2</v>
      </c>
      <c r="I28" s="49" t="inlineStr">
        <is>
          <t>Electoral democracy</t>
        </is>
      </c>
      <c r="J28" s="49" t="n">
        <v>2023</v>
      </c>
      <c r="K28" s="72" t="n">
        <v>55.8</v>
      </c>
      <c r="L28" s="49" t="n">
        <v>2018</v>
      </c>
      <c r="M28" s="54">
        <f>IF(K28="","Missing","Observed")</f>
        <v/>
      </c>
      <c r="N28" s="71">
        <f>LN(C28)</f>
        <v/>
      </c>
      <c r="O28" s="49">
        <f>IF($H28=1,1,0)</f>
        <v/>
      </c>
      <c r="P28" s="49">
        <f>IF($H28=2,1,0)</f>
        <v/>
      </c>
      <c r="Q28" s="49">
        <f>IF($H28=3,1,0)</f>
        <v/>
      </c>
      <c r="R28" s="49">
        <f>IF($L28="","",$L28-2018)</f>
        <v/>
      </c>
      <c r="S28" s="49" t="str"/>
    </row>
    <row r="29">
      <c r="A29" s="49" t="inlineStr">
        <is>
          <t>KHM</t>
        </is>
      </c>
      <c r="B29" s="49" t="inlineStr">
        <is>
          <t>Cambodia</t>
        </is>
      </c>
      <c r="C29" s="69" t="n">
        <v>137</v>
      </c>
      <c r="D29" s="49" t="n">
        <v>2023</v>
      </c>
      <c r="E29" s="70" t="n">
        <v>6695.29194763723</v>
      </c>
      <c r="F29" s="49" t="n">
        <v>2023</v>
      </c>
      <c r="G29" s="71">
        <f>LN(E29)</f>
        <v/>
      </c>
      <c r="H29" s="49" t="n">
        <v>1</v>
      </c>
      <c r="I29" s="49" t="inlineStr">
        <is>
          <t>Electoral autocracy</t>
        </is>
      </c>
      <c r="J29" s="49" t="n">
        <v>2023</v>
      </c>
      <c r="K29" s="72" t="n">
        <v>61.9</v>
      </c>
      <c r="L29" s="49" t="n">
        <v>2022</v>
      </c>
      <c r="M29" s="54">
        <f>IF(K29="","Missing","Observed")</f>
        <v/>
      </c>
      <c r="N29" s="71">
        <f>LN(C29)</f>
        <v/>
      </c>
      <c r="O29" s="49">
        <f>IF($H29=1,1,0)</f>
        <v/>
      </c>
      <c r="P29" s="49">
        <f>IF($H29=2,1,0)</f>
        <v/>
      </c>
      <c r="Q29" s="49">
        <f>IF($H29=3,1,0)</f>
        <v/>
      </c>
      <c r="R29" s="49">
        <f>IF($L29="","",$L29-2018)</f>
        <v/>
      </c>
      <c r="S29" s="49" t="str"/>
    </row>
    <row r="30">
      <c r="A30" s="49" t="inlineStr">
        <is>
          <t>CMR</t>
        </is>
      </c>
      <c r="B30" s="49" t="inlineStr">
        <is>
          <t>Cameroon</t>
        </is>
      </c>
      <c r="C30" s="69" t="n">
        <v>258</v>
      </c>
      <c r="D30" s="49" t="n">
        <v>2023</v>
      </c>
      <c r="E30" s="70" t="n">
        <v>4875.25120768005</v>
      </c>
      <c r="F30" s="49" t="n">
        <v>2023</v>
      </c>
      <c r="G30" s="71">
        <f>LN(E30)</f>
        <v/>
      </c>
      <c r="H30" s="49" t="n">
        <v>1</v>
      </c>
      <c r="I30" s="49" t="inlineStr">
        <is>
          <t>Electoral autocracy</t>
        </is>
      </c>
      <c r="J30" s="49" t="n">
        <v>2023</v>
      </c>
      <c r="K30" s="72" t="n">
        <v>19.3</v>
      </c>
      <c r="L30" s="49" t="n">
        <v>2018</v>
      </c>
      <c r="M30" s="54">
        <f>IF(K30="","Missing","Observed")</f>
        <v/>
      </c>
      <c r="N30" s="71">
        <f>LN(C30)</f>
        <v/>
      </c>
      <c r="O30" s="49">
        <f>IF($H30=1,1,0)</f>
        <v/>
      </c>
      <c r="P30" s="49">
        <f>IF($H30=2,1,0)</f>
        <v/>
      </c>
      <c r="Q30" s="49">
        <f>IF($H30=3,1,0)</f>
        <v/>
      </c>
      <c r="R30" s="49">
        <f>IF($L30="","",$L30-2018)</f>
        <v/>
      </c>
      <c r="S30" s="49" t="str"/>
    </row>
    <row r="31">
      <c r="A31" s="49" t="inlineStr">
        <is>
          <t>CAN</t>
        </is>
      </c>
      <c r="B31" s="49" t="inlineStr">
        <is>
          <t>Canada</t>
        </is>
      </c>
      <c r="C31" s="69" t="n">
        <v>12</v>
      </c>
      <c r="D31" s="49" t="n">
        <v>2023</v>
      </c>
      <c r="E31" s="70" t="n">
        <v>58088.3778077995</v>
      </c>
      <c r="F31" s="49" t="n">
        <v>2023</v>
      </c>
      <c r="G31" s="71">
        <f>LN(E31)</f>
        <v/>
      </c>
      <c r="H31" s="49" t="n">
        <v>2</v>
      </c>
      <c r="I31" s="49" t="inlineStr">
        <is>
          <t>Electoral democracy</t>
        </is>
      </c>
      <c r="J31" s="49" t="n">
        <v>2023</v>
      </c>
      <c r="K31" s="72" t="n"/>
      <c r="L31" s="49" t="n"/>
      <c r="M31" s="54">
        <f>IF(K31="","Missing","Observed")</f>
        <v/>
      </c>
      <c r="N31" s="71">
        <f>LN(C31)</f>
        <v/>
      </c>
      <c r="O31" s="49">
        <f>IF($H31=1,1,0)</f>
        <v/>
      </c>
      <c r="P31" s="49">
        <f>IF($H31=2,1,0)</f>
        <v/>
      </c>
      <c r="Q31" s="49">
        <f>IF($H31=3,1,0)</f>
        <v/>
      </c>
      <c r="R31" s="49">
        <f>IF($L31="","",$L31-2018)</f>
        <v/>
      </c>
      <c r="S31" s="49" t="str"/>
    </row>
    <row r="32">
      <c r="A32" s="49" t="inlineStr">
        <is>
          <t>CAF</t>
        </is>
      </c>
      <c r="B32" s="49" t="inlineStr">
        <is>
          <t>Central African Republic</t>
        </is>
      </c>
      <c r="C32" s="69" t="n">
        <v>692</v>
      </c>
      <c r="D32" s="49" t="n">
        <v>2023</v>
      </c>
      <c r="E32" s="70" t="n">
        <v>1132.67643369804</v>
      </c>
      <c r="F32" s="49" t="n">
        <v>2023</v>
      </c>
      <c r="G32" s="71">
        <f>LN(E32)</f>
        <v/>
      </c>
      <c r="H32" s="49" t="n">
        <v>1</v>
      </c>
      <c r="I32" s="49" t="inlineStr">
        <is>
          <t>Electoral autocracy</t>
        </is>
      </c>
      <c r="J32" s="49" t="n">
        <v>2023</v>
      </c>
      <c r="K32" s="72" t="n">
        <v>17.8</v>
      </c>
      <c r="L32" s="49" t="n">
        <v>2019</v>
      </c>
      <c r="M32" s="54">
        <f>IF(K32="","Missing","Observed")</f>
        <v/>
      </c>
      <c r="N32" s="71">
        <f>LN(C32)</f>
        <v/>
      </c>
      <c r="O32" s="49">
        <f>IF($H32=1,1,0)</f>
        <v/>
      </c>
      <c r="P32" s="49">
        <f>IF($H32=2,1,0)</f>
        <v/>
      </c>
      <c r="Q32" s="49">
        <f>IF($H32=3,1,0)</f>
        <v/>
      </c>
      <c r="R32" s="49">
        <f>IF($L32="","",$L32-2018)</f>
        <v/>
      </c>
      <c r="S32" s="49" t="str"/>
    </row>
    <row r="33">
      <c r="A33" s="49" t="inlineStr">
        <is>
          <t>TCD</t>
        </is>
      </c>
      <c r="B33" s="49" t="inlineStr">
        <is>
          <t>Chad</t>
        </is>
      </c>
      <c r="C33" s="69" t="n">
        <v>748</v>
      </c>
      <c r="D33" s="49" t="n">
        <v>2023</v>
      </c>
      <c r="E33" s="70" t="n">
        <v>2433.53330962707</v>
      </c>
      <c r="F33" s="49" t="n">
        <v>2023</v>
      </c>
      <c r="G33" s="71">
        <f>LN(E33)</f>
        <v/>
      </c>
      <c r="H33" s="49" t="n">
        <v>0</v>
      </c>
      <c r="I33" s="49" t="inlineStr">
        <is>
          <t>Closed autocracy</t>
        </is>
      </c>
      <c r="J33" s="49" t="n">
        <v>2023</v>
      </c>
      <c r="K33" s="72" t="n">
        <v>8.1</v>
      </c>
      <c r="L33" s="49" t="n">
        <v>2019</v>
      </c>
      <c r="M33" s="54">
        <f>IF(K33="","Missing","Observed")</f>
        <v/>
      </c>
      <c r="N33" s="71">
        <f>LN(C33)</f>
        <v/>
      </c>
      <c r="O33" s="49">
        <f>IF($H33=1,1,0)</f>
        <v/>
      </c>
      <c r="P33" s="49">
        <f>IF($H33=2,1,0)</f>
        <v/>
      </c>
      <c r="Q33" s="49">
        <f>IF($H33=3,1,0)</f>
        <v/>
      </c>
      <c r="R33" s="49">
        <f>IF($L33="","",$L33-2018)</f>
        <v/>
      </c>
      <c r="S33" s="49" t="str"/>
    </row>
    <row r="34">
      <c r="A34" s="49" t="inlineStr">
        <is>
          <t>CHL</t>
        </is>
      </c>
      <c r="B34" s="49" t="inlineStr">
        <is>
          <t>Chile</t>
        </is>
      </c>
      <c r="C34" s="69" t="n">
        <v>10</v>
      </c>
      <c r="D34" s="49" t="n">
        <v>2023</v>
      </c>
      <c r="E34" s="70" t="n">
        <v>29600.4188613168</v>
      </c>
      <c r="F34" s="49" t="n">
        <v>2023</v>
      </c>
      <c r="G34" s="71">
        <f>LN(E34)</f>
        <v/>
      </c>
      <c r="H34" s="49" t="n">
        <v>3</v>
      </c>
      <c r="I34" s="49" t="inlineStr">
        <is>
          <t>Liberal democracy</t>
        </is>
      </c>
      <c r="J34" s="49" t="n">
        <v>2023</v>
      </c>
      <c r="K34" s="72" t="n">
        <v>76.2635245751857</v>
      </c>
      <c r="L34" s="49" t="n">
        <v>2016</v>
      </c>
      <c r="M34" s="54">
        <f>IF(K34="","Missing","Observed")</f>
        <v/>
      </c>
      <c r="N34" s="71">
        <f>LN(C34)</f>
        <v/>
      </c>
      <c r="O34" s="49">
        <f>IF($H34=1,1,0)</f>
        <v/>
      </c>
      <c r="P34" s="49">
        <f>IF($H34=2,1,0)</f>
        <v/>
      </c>
      <c r="Q34" s="49">
        <f>IF($H34=3,1,0)</f>
        <v/>
      </c>
      <c r="R34" s="49">
        <f>IF($L34="","",$L34-2018)</f>
        <v/>
      </c>
      <c r="S34" s="49" t="str"/>
    </row>
    <row r="35">
      <c r="A35" s="49" t="inlineStr">
        <is>
          <t>CHN</t>
        </is>
      </c>
      <c r="B35" s="49" t="inlineStr">
        <is>
          <t>China</t>
        </is>
      </c>
      <c r="C35" s="69" t="n">
        <v>16</v>
      </c>
      <c r="D35" s="49" t="n">
        <v>2023</v>
      </c>
      <c r="E35" s="70" t="n">
        <v>22687.2519534328</v>
      </c>
      <c r="F35" s="49" t="n">
        <v>2023</v>
      </c>
      <c r="G35" s="71">
        <f>LN(E35)</f>
        <v/>
      </c>
      <c r="H35" s="49" t="n">
        <v>0</v>
      </c>
      <c r="I35" s="49" t="inlineStr">
        <is>
          <t>Closed autocracy</t>
        </is>
      </c>
      <c r="J35" s="49" t="n">
        <v>2023</v>
      </c>
      <c r="K35" s="72" t="n">
        <v>84.5</v>
      </c>
      <c r="L35" s="49" t="n">
        <v>2017</v>
      </c>
      <c r="M35" s="54">
        <f>IF(K35="","Missing","Observed")</f>
        <v/>
      </c>
      <c r="N35" s="71">
        <f>LN(C35)</f>
        <v/>
      </c>
      <c r="O35" s="49">
        <f>IF($H35=1,1,0)</f>
        <v/>
      </c>
      <c r="P35" s="49">
        <f>IF($H35=2,1,0)</f>
        <v/>
      </c>
      <c r="Q35" s="49">
        <f>IF($H35=3,1,0)</f>
        <v/>
      </c>
      <c r="R35" s="49">
        <f>IF($L35="","",$L35-2018)</f>
        <v/>
      </c>
      <c r="S35" s="49" t="str"/>
    </row>
    <row r="36">
      <c r="A36" s="49" t="inlineStr">
        <is>
          <t>COL</t>
        </is>
      </c>
      <c r="B36" s="49" t="inlineStr">
        <is>
          <t>Colombia</t>
        </is>
      </c>
      <c r="C36" s="69" t="n">
        <v>59</v>
      </c>
      <c r="D36" s="49" t="n">
        <v>2023</v>
      </c>
      <c r="E36" s="70" t="n">
        <v>18406.6242338491</v>
      </c>
      <c r="F36" s="49" t="n">
        <v>2023</v>
      </c>
      <c r="G36" s="71">
        <f>LN(E36)</f>
        <v/>
      </c>
      <c r="H36" s="49" t="n">
        <v>2</v>
      </c>
      <c r="I36" s="49" t="inlineStr">
        <is>
          <t>Electoral democracy</t>
        </is>
      </c>
      <c r="J36" s="49" t="n">
        <v>2023</v>
      </c>
      <c r="K36" s="72" t="n">
        <v>81</v>
      </c>
      <c r="L36" s="49" t="n">
        <v>2015</v>
      </c>
      <c r="M36" s="54">
        <f>IF(K36="","Missing","Observed")</f>
        <v/>
      </c>
      <c r="N36" s="71">
        <f>LN(C36)</f>
        <v/>
      </c>
      <c r="O36" s="49">
        <f>IF($H36=1,1,0)</f>
        <v/>
      </c>
      <c r="P36" s="49">
        <f>IF($H36=2,1,0)</f>
        <v/>
      </c>
      <c r="Q36" s="49">
        <f>IF($H36=3,1,0)</f>
        <v/>
      </c>
      <c r="R36" s="49">
        <f>IF($L36="","",$L36-2018)</f>
        <v/>
      </c>
      <c r="S36" s="49" t="str"/>
    </row>
    <row r="37">
      <c r="A37" s="49" t="inlineStr">
        <is>
          <t>COM</t>
        </is>
      </c>
      <c r="B37" s="49" t="inlineStr">
        <is>
          <t>Comoros</t>
        </is>
      </c>
      <c r="C37" s="69" t="n">
        <v>179</v>
      </c>
      <c r="D37" s="49" t="n">
        <v>2023</v>
      </c>
      <c r="E37" s="70" t="n">
        <v>3508.15862331545</v>
      </c>
      <c r="F37" s="49" t="n">
        <v>2023</v>
      </c>
      <c r="G37" s="71">
        <f>LN(E37)</f>
        <v/>
      </c>
      <c r="H37" s="49" t="n">
        <v>1</v>
      </c>
      <c r="I37" s="49" t="inlineStr">
        <is>
          <t>Electoral autocracy</t>
        </is>
      </c>
      <c r="J37" s="49" t="n">
        <v>2023</v>
      </c>
      <c r="K37" s="72" t="n">
        <v>11.6</v>
      </c>
      <c r="L37" s="49" t="n">
        <v>2022</v>
      </c>
      <c r="M37" s="54">
        <f>IF(K37="","Missing","Observed")</f>
        <v/>
      </c>
      <c r="N37" s="71">
        <f>LN(C37)</f>
        <v/>
      </c>
      <c r="O37" s="49">
        <f>IF($H37=1,1,0)</f>
        <v/>
      </c>
      <c r="P37" s="49">
        <f>IF($H37=2,1,0)</f>
        <v/>
      </c>
      <c r="Q37" s="49">
        <f>IF($H37=3,1,0)</f>
        <v/>
      </c>
      <c r="R37" s="49">
        <f>IF($L37="","",$L37-2018)</f>
        <v/>
      </c>
      <c r="S37" s="49" t="str"/>
    </row>
    <row r="38">
      <c r="A38" s="49" t="inlineStr">
        <is>
          <t>COD</t>
        </is>
      </c>
      <c r="B38" s="49" t="inlineStr">
        <is>
          <t>Congo, Dem. Rep.</t>
        </is>
      </c>
      <c r="C38" s="69" t="n">
        <v>427</v>
      </c>
      <c r="D38" s="49" t="n">
        <v>2023</v>
      </c>
      <c r="E38" s="70" t="n">
        <v>1559.33806475859</v>
      </c>
      <c r="F38" s="49" t="n">
        <v>2023</v>
      </c>
      <c r="G38" s="71">
        <f>LN(E38)</f>
        <v/>
      </c>
      <c r="H38" s="49" t="n">
        <v>1</v>
      </c>
      <c r="I38" s="49" t="inlineStr">
        <is>
          <t>Electoral autocracy</t>
        </is>
      </c>
      <c r="J38" s="49" t="n">
        <v>2023</v>
      </c>
      <c r="K38" s="72" t="n">
        <v>28.1286863587728</v>
      </c>
      <c r="L38" s="49" t="n">
        <v>2018</v>
      </c>
      <c r="M38" s="54">
        <f>IF(K38="","Missing","Observed")</f>
        <v/>
      </c>
      <c r="N38" s="71">
        <f>LN(C38)</f>
        <v/>
      </c>
      <c r="O38" s="49">
        <f>IF($H38=1,1,0)</f>
        <v/>
      </c>
      <c r="P38" s="49">
        <f>IF($H38=2,1,0)</f>
        <v/>
      </c>
      <c r="Q38" s="49">
        <f>IF($H38=3,1,0)</f>
        <v/>
      </c>
      <c r="R38" s="49">
        <f>IF($L38="","",$L38-2018)</f>
        <v/>
      </c>
      <c r="S38" s="49" t="str"/>
    </row>
    <row r="39">
      <c r="A39" s="49" t="inlineStr">
        <is>
          <t>COG</t>
        </is>
      </c>
      <c r="B39" s="49" t="inlineStr">
        <is>
          <t>Congo, Rep.</t>
        </is>
      </c>
      <c r="C39" s="69" t="n">
        <v>241</v>
      </c>
      <c r="D39" s="49" t="n">
        <v>2023</v>
      </c>
      <c r="E39" s="70" t="n">
        <v>6172.28776650683</v>
      </c>
      <c r="F39" s="49" t="n">
        <v>2023</v>
      </c>
      <c r="G39" s="71">
        <f>LN(E39)</f>
        <v/>
      </c>
      <c r="H39" s="49" t="n">
        <v>1</v>
      </c>
      <c r="I39" s="49" t="inlineStr">
        <is>
          <t>Electoral autocracy</t>
        </is>
      </c>
      <c r="J39" s="49" t="n">
        <v>2023</v>
      </c>
      <c r="K39" s="72" t="n">
        <v>30.11949285</v>
      </c>
      <c r="L39" s="49" t="n">
        <v>2015</v>
      </c>
      <c r="M39" s="54">
        <f>IF(K39="","Missing","Observed")</f>
        <v/>
      </c>
      <c r="N39" s="71">
        <f>LN(C39)</f>
        <v/>
      </c>
      <c r="O39" s="49">
        <f>IF($H39=1,1,0)</f>
        <v/>
      </c>
      <c r="P39" s="49">
        <f>IF($H39=2,1,0)</f>
        <v/>
      </c>
      <c r="Q39" s="49">
        <f>IF($H39=3,1,0)</f>
        <v/>
      </c>
      <c r="R39" s="49">
        <f>IF($L39="","",$L39-2018)</f>
        <v/>
      </c>
      <c r="S39" s="49" t="str"/>
    </row>
    <row r="40">
      <c r="A40" s="49" t="inlineStr">
        <is>
          <t>CRI</t>
        </is>
      </c>
      <c r="B40" s="49" t="inlineStr">
        <is>
          <t>Costa Rica</t>
        </is>
      </c>
      <c r="C40" s="69" t="n">
        <v>24</v>
      </c>
      <c r="D40" s="49" t="n">
        <v>2023</v>
      </c>
      <c r="E40" s="70" t="n">
        <v>26378.5409941926</v>
      </c>
      <c r="F40" s="49" t="n">
        <v>2023</v>
      </c>
      <c r="G40" s="71">
        <f>LN(E40)</f>
        <v/>
      </c>
      <c r="H40" s="49" t="n">
        <v>3</v>
      </c>
      <c r="I40" s="49" t="inlineStr">
        <is>
          <t>Liberal democracy</t>
        </is>
      </c>
      <c r="J40" s="49" t="n">
        <v>2023</v>
      </c>
      <c r="K40" s="72" t="n">
        <v>70.90000000000001</v>
      </c>
      <c r="L40" s="49" t="n">
        <v>2018</v>
      </c>
      <c r="M40" s="54">
        <f>IF(K40="","Missing","Observed")</f>
        <v/>
      </c>
      <c r="N40" s="71">
        <f>LN(C40)</f>
        <v/>
      </c>
      <c r="O40" s="49">
        <f>IF($H40=1,1,0)</f>
        <v/>
      </c>
      <c r="P40" s="49">
        <f>IF($H40=2,1,0)</f>
        <v/>
      </c>
      <c r="Q40" s="49">
        <f>IF($H40=3,1,0)</f>
        <v/>
      </c>
      <c r="R40" s="49">
        <f>IF($L40="","",$L40-2018)</f>
        <v/>
      </c>
      <c r="S40" s="49" t="str"/>
    </row>
    <row r="41">
      <c r="A41" s="49" t="inlineStr">
        <is>
          <t>CIV</t>
        </is>
      </c>
      <c r="B41" s="49" t="inlineStr">
        <is>
          <t>Cote d'Ivoire</t>
        </is>
      </c>
      <c r="C41" s="69" t="n">
        <v>359</v>
      </c>
      <c r="D41" s="49" t="n">
        <v>2023</v>
      </c>
      <c r="E41" s="70" t="n">
        <v>6520.89886459765</v>
      </c>
      <c r="F41" s="49" t="n">
        <v>2023</v>
      </c>
      <c r="G41" s="71">
        <f>LN(E41)</f>
        <v/>
      </c>
      <c r="H41" s="49" t="n">
        <v>1</v>
      </c>
      <c r="I41" s="49" t="inlineStr">
        <is>
          <t>Electoral autocracy</t>
        </is>
      </c>
      <c r="J41" s="49" t="n">
        <v>2023</v>
      </c>
      <c r="K41" s="72" t="n">
        <v>31.9711571456027</v>
      </c>
      <c r="L41" s="49" t="n">
        <v>2022</v>
      </c>
      <c r="M41" s="54">
        <f>IF(K41="","Missing","Observed")</f>
        <v/>
      </c>
      <c r="N41" s="71">
        <f>LN(C41)</f>
        <v/>
      </c>
      <c r="O41" s="49">
        <f>IF($H41=1,1,0)</f>
        <v/>
      </c>
      <c r="P41" s="49">
        <f>IF($H41=2,1,0)</f>
        <v/>
      </c>
      <c r="Q41" s="49">
        <f>IF($H41=3,1,0)</f>
        <v/>
      </c>
      <c r="R41" s="49">
        <f>IF($L41="","",$L41-2018)</f>
        <v/>
      </c>
      <c r="S41" s="49" t="str"/>
    </row>
    <row r="42">
      <c r="A42" s="49" t="inlineStr">
        <is>
          <t>HRV</t>
        </is>
      </c>
      <c r="B42" s="49" t="inlineStr">
        <is>
          <t>Croatia</t>
        </is>
      </c>
      <c r="C42" s="69" t="n">
        <v>3</v>
      </c>
      <c r="D42" s="49" t="n">
        <v>2023</v>
      </c>
      <c r="E42" s="70" t="n">
        <v>41320.257995772</v>
      </c>
      <c r="F42" s="49" t="n">
        <v>2023</v>
      </c>
      <c r="G42" s="71">
        <f>LN(E42)</f>
        <v/>
      </c>
      <c r="H42" s="49" t="n">
        <v>2</v>
      </c>
      <c r="I42" s="49" t="inlineStr">
        <is>
          <t>Electoral democracy</t>
        </is>
      </c>
      <c r="J42" s="49" t="n">
        <v>2023</v>
      </c>
      <c r="K42" s="72" t="n"/>
      <c r="L42" s="49" t="n"/>
      <c r="M42" s="54">
        <f>IF(K42="","Missing","Observed")</f>
        <v/>
      </c>
      <c r="N42" s="71">
        <f>LN(C42)</f>
        <v/>
      </c>
      <c r="O42" s="49">
        <f>IF($H42=1,1,0)</f>
        <v/>
      </c>
      <c r="P42" s="49">
        <f>IF($H42=2,1,0)</f>
        <v/>
      </c>
      <c r="Q42" s="49">
        <f>IF($H42=3,1,0)</f>
        <v/>
      </c>
      <c r="R42" s="49">
        <f>IF($L42="","",$L42-2018)</f>
        <v/>
      </c>
      <c r="S42" s="49" t="str"/>
    </row>
    <row r="43">
      <c r="A43" s="49" t="inlineStr">
        <is>
          <t>CYP</t>
        </is>
      </c>
      <c r="B43" s="49" t="inlineStr">
        <is>
          <t>Cyprus</t>
        </is>
      </c>
      <c r="C43" s="69" t="n">
        <v>14</v>
      </c>
      <c r="D43" s="49" t="n">
        <v>2023</v>
      </c>
      <c r="E43" s="70" t="n">
        <v>51674.90234375</v>
      </c>
      <c r="F43" s="49" t="n">
        <v>2023</v>
      </c>
      <c r="G43" s="71">
        <f>LN(E43)</f>
        <v/>
      </c>
      <c r="H43" s="49" t="n">
        <v>3</v>
      </c>
      <c r="I43" s="49" t="inlineStr">
        <is>
          <t>Liberal democracy</t>
        </is>
      </c>
      <c r="J43" s="49" t="n">
        <v>2023</v>
      </c>
      <c r="K43" s="72" t="n"/>
      <c r="L43" s="49" t="n"/>
      <c r="M43" s="54">
        <f>IF(K43="","Missing","Observed")</f>
        <v/>
      </c>
      <c r="N43" s="71">
        <f>LN(C43)</f>
        <v/>
      </c>
      <c r="O43" s="49">
        <f>IF($H43=1,1,0)</f>
        <v/>
      </c>
      <c r="P43" s="49">
        <f>IF($H43=2,1,0)</f>
        <v/>
      </c>
      <c r="Q43" s="49">
        <f>IF($H43=3,1,0)</f>
        <v/>
      </c>
      <c r="R43" s="49">
        <f>IF($L43="","",$L43-2018)</f>
        <v/>
      </c>
      <c r="S43" s="49" t="str"/>
    </row>
    <row r="44">
      <c r="A44" s="49" t="inlineStr">
        <is>
          <t>CZE</t>
        </is>
      </c>
      <c r="B44" s="49" t="inlineStr">
        <is>
          <t>Czechia</t>
        </is>
      </c>
      <c r="C44" s="69" t="n">
        <v>3</v>
      </c>
      <c r="D44" s="49" t="n">
        <v>2023</v>
      </c>
      <c r="E44" s="70" t="n">
        <v>47558.4106763314</v>
      </c>
      <c r="F44" s="49" t="n">
        <v>2023</v>
      </c>
      <c r="G44" s="71">
        <f>LN(E44)</f>
        <v/>
      </c>
      <c r="H44" s="49" t="n">
        <v>3</v>
      </c>
      <c r="I44" s="49" t="inlineStr">
        <is>
          <t>Liberal democracy</t>
        </is>
      </c>
      <c r="J44" s="49" t="n">
        <v>2023</v>
      </c>
      <c r="K44" s="72" t="n"/>
      <c r="L44" s="49" t="n"/>
      <c r="M44" s="54">
        <f>IF(K44="","Missing","Observed")</f>
        <v/>
      </c>
      <c r="N44" s="71">
        <f>LN(C44)</f>
        <v/>
      </c>
      <c r="O44" s="49">
        <f>IF($H44=1,1,0)</f>
        <v/>
      </c>
      <c r="P44" s="49">
        <f>IF($H44=2,1,0)</f>
        <v/>
      </c>
      <c r="Q44" s="49">
        <f>IF($H44=3,1,0)</f>
        <v/>
      </c>
      <c r="R44" s="49">
        <f>IF($L44="","",$L44-2018)</f>
        <v/>
      </c>
      <c r="S44" s="49" t="str"/>
    </row>
    <row r="45">
      <c r="A45" s="49" t="inlineStr">
        <is>
          <t>DNK</t>
        </is>
      </c>
      <c r="B45" s="49" t="inlineStr">
        <is>
          <t>Denmark</t>
        </is>
      </c>
      <c r="C45" s="69" t="n">
        <v>4</v>
      </c>
      <c r="D45" s="49" t="n">
        <v>2023</v>
      </c>
      <c r="E45" s="70" t="n">
        <v>68993.9031100362</v>
      </c>
      <c r="F45" s="49" t="n">
        <v>2023</v>
      </c>
      <c r="G45" s="71">
        <f>LN(E45)</f>
        <v/>
      </c>
      <c r="H45" s="49" t="n">
        <v>3</v>
      </c>
      <c r="I45" s="49" t="inlineStr">
        <is>
          <t>Liberal democracy</t>
        </is>
      </c>
      <c r="J45" s="49" t="n">
        <v>2023</v>
      </c>
      <c r="K45" s="72" t="n"/>
      <c r="L45" s="49" t="n"/>
      <c r="M45" s="54">
        <f>IF(K45="","Missing","Observed")</f>
        <v/>
      </c>
      <c r="N45" s="71">
        <f>LN(C45)</f>
        <v/>
      </c>
      <c r="O45" s="49">
        <f>IF($H45=1,1,0)</f>
        <v/>
      </c>
      <c r="P45" s="49">
        <f>IF($H45=2,1,0)</f>
        <v/>
      </c>
      <c r="Q45" s="49">
        <f>IF($H45=3,1,0)</f>
        <v/>
      </c>
      <c r="R45" s="49">
        <f>IF($L45="","",$L45-2018)</f>
        <v/>
      </c>
      <c r="S45" s="49" t="str"/>
    </row>
    <row r="46">
      <c r="A46" s="49" t="inlineStr">
        <is>
          <t>DJI</t>
        </is>
      </c>
      <c r="B46" s="49" t="inlineStr">
        <is>
          <t>Djibouti</t>
        </is>
      </c>
      <c r="C46" s="69" t="n">
        <v>162</v>
      </c>
      <c r="D46" s="49" t="n">
        <v>2023</v>
      </c>
      <c r="E46" s="70" t="n">
        <v>6510.67859061619</v>
      </c>
      <c r="F46" s="49" t="n">
        <v>2023</v>
      </c>
      <c r="G46" s="71">
        <f>LN(E46)</f>
        <v/>
      </c>
      <c r="H46" s="49" t="n">
        <v>1</v>
      </c>
      <c r="I46" s="49" t="inlineStr">
        <is>
          <t>Electoral autocracy</t>
        </is>
      </c>
      <c r="J46" s="49" t="n">
        <v>2023</v>
      </c>
      <c r="K46" s="72" t="n">
        <v>19</v>
      </c>
      <c r="L46" s="49" t="n">
        <v>2012</v>
      </c>
      <c r="M46" s="54">
        <f>IF(K46="","Missing","Observed")</f>
        <v/>
      </c>
      <c r="N46" s="71">
        <f>LN(C46)</f>
        <v/>
      </c>
      <c r="O46" s="49">
        <f>IF($H46=1,1,0)</f>
        <v/>
      </c>
      <c r="P46" s="49">
        <f>IF($H46=2,1,0)</f>
        <v/>
      </c>
      <c r="Q46" s="49">
        <f>IF($H46=3,1,0)</f>
        <v/>
      </c>
      <c r="R46" s="49">
        <f>IF($L46="","",$L46-2018)</f>
        <v/>
      </c>
      <c r="S46" s="49" t="str"/>
    </row>
    <row r="47">
      <c r="A47" s="49" t="inlineStr">
        <is>
          <t>DOM</t>
        </is>
      </c>
      <c r="B47" s="49" t="inlineStr">
        <is>
          <t>Dominican Republic</t>
        </is>
      </c>
      <c r="C47" s="69" t="n">
        <v>124</v>
      </c>
      <c r="D47" s="49" t="n">
        <v>2023</v>
      </c>
      <c r="E47" s="70" t="n">
        <v>23282.4895071054</v>
      </c>
      <c r="F47" s="49" t="n">
        <v>2023</v>
      </c>
      <c r="G47" s="71">
        <f>LN(E47)</f>
        <v/>
      </c>
      <c r="H47" s="49" t="n">
        <v>2</v>
      </c>
      <c r="I47" s="49" t="inlineStr">
        <is>
          <t>Electoral democracy</t>
        </is>
      </c>
      <c r="J47" s="49" t="n">
        <v>2023</v>
      </c>
      <c r="K47" s="72" t="n">
        <v>62.7779892966591</v>
      </c>
      <c r="L47" s="49" t="n">
        <v>2019</v>
      </c>
      <c r="M47" s="54">
        <f>IF(K47="","Missing","Observed")</f>
        <v/>
      </c>
      <c r="N47" s="71">
        <f>LN(C47)</f>
        <v/>
      </c>
      <c r="O47" s="49">
        <f>IF($H47=1,1,0)</f>
        <v/>
      </c>
      <c r="P47" s="49">
        <f>IF($H47=2,1,0)</f>
        <v/>
      </c>
      <c r="Q47" s="49">
        <f>IF($H47=3,1,0)</f>
        <v/>
      </c>
      <c r="R47" s="49">
        <f>IF($L47="","",$L47-2018)</f>
        <v/>
      </c>
      <c r="S47" s="49" t="str"/>
    </row>
    <row r="48">
      <c r="A48" s="49" t="inlineStr">
        <is>
          <t>ECU</t>
        </is>
      </c>
      <c r="B48" s="49" t="inlineStr">
        <is>
          <t>Ecuador</t>
        </is>
      </c>
      <c r="C48" s="69" t="n">
        <v>55</v>
      </c>
      <c r="D48" s="49" t="n">
        <v>2023</v>
      </c>
      <c r="E48" s="70" t="n">
        <v>14321.1648295611</v>
      </c>
      <c r="F48" s="49" t="n">
        <v>2023</v>
      </c>
      <c r="G48" s="71">
        <f>LN(E48)</f>
        <v/>
      </c>
      <c r="H48" s="49" t="n">
        <v>2</v>
      </c>
      <c r="I48" s="49" t="inlineStr">
        <is>
          <t>Electoral democracy</t>
        </is>
      </c>
      <c r="J48" s="49" t="n">
        <v>2023</v>
      </c>
      <c r="K48" s="72" t="n">
        <v>77.8500417459495</v>
      </c>
      <c r="L48" s="49" t="n">
        <v>2018</v>
      </c>
      <c r="M48" s="54">
        <f>IF(K48="","Missing","Observed")</f>
        <v/>
      </c>
      <c r="N48" s="71">
        <f>LN(C48)</f>
        <v/>
      </c>
      <c r="O48" s="49">
        <f>IF($H48=1,1,0)</f>
        <v/>
      </c>
      <c r="P48" s="49">
        <f>IF($H48=2,1,0)</f>
        <v/>
      </c>
      <c r="Q48" s="49">
        <f>IF($H48=3,1,0)</f>
        <v/>
      </c>
      <c r="R48" s="49">
        <f>IF($L48="","",$L48-2018)</f>
        <v/>
      </c>
      <c r="S48" s="49" t="str"/>
    </row>
    <row r="49">
      <c r="A49" s="49" t="inlineStr">
        <is>
          <t>EGY</t>
        </is>
      </c>
      <c r="B49" s="49" t="inlineStr">
        <is>
          <t>Egypt, Arab Rep.</t>
        </is>
      </c>
      <c r="C49" s="69" t="n">
        <v>17</v>
      </c>
      <c r="D49" s="49" t="n">
        <v>2023</v>
      </c>
      <c r="E49" s="70" t="n">
        <v>16691.3873991962</v>
      </c>
      <c r="F49" s="49" t="n">
        <v>2023</v>
      </c>
      <c r="G49" s="71">
        <f>LN(E49)</f>
        <v/>
      </c>
      <c r="H49" s="49" t="n">
        <v>1</v>
      </c>
      <c r="I49" s="49" t="inlineStr">
        <is>
          <t>Electoral autocracy</t>
        </is>
      </c>
      <c r="J49" s="49" t="n">
        <v>2023</v>
      </c>
      <c r="K49" s="72" t="n">
        <v>58.5</v>
      </c>
      <c r="L49" s="49" t="n">
        <v>2014</v>
      </c>
      <c r="M49" s="54">
        <f>IF(K49="","Missing","Observed")</f>
        <v/>
      </c>
      <c r="N49" s="71">
        <f>LN(C49)</f>
        <v/>
      </c>
      <c r="O49" s="49">
        <f>IF($H49=1,1,0)</f>
        <v/>
      </c>
      <c r="P49" s="49">
        <f>IF($H49=2,1,0)</f>
        <v/>
      </c>
      <c r="Q49" s="49">
        <f>IF($H49=3,1,0)</f>
        <v/>
      </c>
      <c r="R49" s="49">
        <f>IF($L49="","",$L49-2018)</f>
        <v/>
      </c>
      <c r="S49" s="49" t="str"/>
    </row>
    <row r="50">
      <c r="A50" s="49" t="inlineStr">
        <is>
          <t>SLV</t>
        </is>
      </c>
      <c r="B50" s="49" t="inlineStr">
        <is>
          <t>El Salvador</t>
        </is>
      </c>
      <c r="C50" s="69" t="n">
        <v>39</v>
      </c>
      <c r="D50" s="49" t="n">
        <v>2023</v>
      </c>
      <c r="E50" s="70" t="n">
        <v>11404.3342262685</v>
      </c>
      <c r="F50" s="49" t="n">
        <v>2023</v>
      </c>
      <c r="G50" s="71">
        <f>LN(E50)</f>
        <v/>
      </c>
      <c r="H50" s="49" t="n">
        <v>1</v>
      </c>
      <c r="I50" s="49" t="inlineStr">
        <is>
          <t>Electoral autocracy</t>
        </is>
      </c>
      <c r="J50" s="49" t="n">
        <v>2023</v>
      </c>
      <c r="K50" s="72" t="n">
        <v>53.6</v>
      </c>
      <c r="L50" s="49" t="n">
        <v>2021</v>
      </c>
      <c r="M50" s="54">
        <f>IF(K50="","Missing","Observed")</f>
        <v/>
      </c>
      <c r="N50" s="71">
        <f>LN(C50)</f>
        <v/>
      </c>
      <c r="O50" s="49">
        <f>IF($H50=1,1,0)</f>
        <v/>
      </c>
      <c r="P50" s="49">
        <f>IF($H50=2,1,0)</f>
        <v/>
      </c>
      <c r="Q50" s="49">
        <f>IF($H50=3,1,0)</f>
        <v/>
      </c>
      <c r="R50" s="49">
        <f>IF($L50="","",$L50-2018)</f>
        <v/>
      </c>
      <c r="S50" s="49" t="str"/>
    </row>
    <row r="51">
      <c r="A51" s="49" t="inlineStr">
        <is>
          <t>GNQ</t>
        </is>
      </c>
      <c r="B51" s="49" t="inlineStr">
        <is>
          <t>Equatorial Guinea</t>
        </is>
      </c>
      <c r="C51" s="69" t="n">
        <v>174</v>
      </c>
      <c r="D51" s="49" t="n">
        <v>2023</v>
      </c>
      <c r="E51" s="70" t="n">
        <v>15302.1517835147</v>
      </c>
      <c r="F51" s="49" t="n">
        <v>2023</v>
      </c>
      <c r="G51" s="71">
        <f>LN(E51)</f>
        <v/>
      </c>
      <c r="H51" s="49" t="n">
        <v>1</v>
      </c>
      <c r="I51" s="49" t="inlineStr">
        <is>
          <t>Electoral autocracy</t>
        </is>
      </c>
      <c r="J51" s="49" t="n">
        <v>2023</v>
      </c>
      <c r="K51" s="72" t="n">
        <v>12.6</v>
      </c>
      <c r="L51" s="49" t="n">
        <v>2011</v>
      </c>
      <c r="M51" s="54">
        <f>IF(K51="","Missing","Observed")</f>
        <v/>
      </c>
      <c r="N51" s="71">
        <f>LN(C51)</f>
        <v/>
      </c>
      <c r="O51" s="49">
        <f>IF($H51=1,1,0)</f>
        <v/>
      </c>
      <c r="P51" s="49">
        <f>IF($H51=2,1,0)</f>
        <v/>
      </c>
      <c r="Q51" s="49">
        <f>IF($H51=3,1,0)</f>
        <v/>
      </c>
      <c r="R51" s="49">
        <f>IF($L51="","",$L51-2018)</f>
        <v/>
      </c>
      <c r="S51" s="49" t="str"/>
    </row>
    <row r="52">
      <c r="A52" s="49" t="inlineStr">
        <is>
          <t>EST</t>
        </is>
      </c>
      <c r="B52" s="49" t="inlineStr">
        <is>
          <t>Estonia</t>
        </is>
      </c>
      <c r="C52" s="69" t="n">
        <v>5</v>
      </c>
      <c r="D52" s="49" t="n">
        <v>2023</v>
      </c>
      <c r="E52" s="70" t="n">
        <v>41284.7746875532</v>
      </c>
      <c r="F52" s="49" t="n">
        <v>2023</v>
      </c>
      <c r="G52" s="71">
        <f>LN(E52)</f>
        <v/>
      </c>
      <c r="H52" s="49" t="n">
        <v>3</v>
      </c>
      <c r="I52" s="49" t="inlineStr">
        <is>
          <t>Liberal democracy</t>
        </is>
      </c>
      <c r="J52" s="49" t="n">
        <v>2023</v>
      </c>
      <c r="K52" s="72" t="n">
        <v>75.09787317599989</v>
      </c>
      <c r="L52" s="49" t="n">
        <v>2014</v>
      </c>
      <c r="M52" s="54">
        <f>IF(K52="","Missing","Observed")</f>
        <v/>
      </c>
      <c r="N52" s="71">
        <f>LN(C52)</f>
        <v/>
      </c>
      <c r="O52" s="49">
        <f>IF($H52=1,1,0)</f>
        <v/>
      </c>
      <c r="P52" s="49">
        <f>IF($H52=2,1,0)</f>
        <v/>
      </c>
      <c r="Q52" s="49">
        <f>IF($H52=3,1,0)</f>
        <v/>
      </c>
      <c r="R52" s="49">
        <f>IF($L52="","",$L52-2018)</f>
        <v/>
      </c>
      <c r="S52" s="49" t="str"/>
    </row>
    <row r="53">
      <c r="A53" s="49" t="inlineStr">
        <is>
          <t>SWZ</t>
        </is>
      </c>
      <c r="B53" s="49" t="inlineStr">
        <is>
          <t>Eswatini</t>
        </is>
      </c>
      <c r="C53" s="69" t="n">
        <v>118</v>
      </c>
      <c r="D53" s="49" t="n">
        <v>2023</v>
      </c>
      <c r="E53" s="70" t="n">
        <v>10181.5040730397</v>
      </c>
      <c r="F53" s="49" t="n">
        <v>2023</v>
      </c>
      <c r="G53" s="71">
        <f>LN(E53)</f>
        <v/>
      </c>
      <c r="H53" s="49" t="n">
        <v>0</v>
      </c>
      <c r="I53" s="49" t="inlineStr">
        <is>
          <t>Closed autocracy</t>
        </is>
      </c>
      <c r="J53" s="49" t="n">
        <v>2023</v>
      </c>
      <c r="K53" s="72" t="n">
        <v>57.7</v>
      </c>
      <c r="L53" s="49" t="n">
        <v>2022</v>
      </c>
      <c r="M53" s="54">
        <f>IF(K53="","Missing","Observed")</f>
        <v/>
      </c>
      <c r="N53" s="71">
        <f>LN(C53)</f>
        <v/>
      </c>
      <c r="O53" s="49">
        <f>IF($H53=1,1,0)</f>
        <v/>
      </c>
      <c r="P53" s="49">
        <f>IF($H53=2,1,0)</f>
        <v/>
      </c>
      <c r="Q53" s="49">
        <f>IF($H53=3,1,0)</f>
        <v/>
      </c>
      <c r="R53" s="49">
        <f>IF($L53="","",$L53-2018)</f>
        <v/>
      </c>
      <c r="S53" s="49" t="str"/>
    </row>
    <row r="54">
      <c r="A54" s="49" t="inlineStr">
        <is>
          <t>ETH</t>
        </is>
      </c>
      <c r="B54" s="49" t="inlineStr">
        <is>
          <t>Ethiopia</t>
        </is>
      </c>
      <c r="C54" s="69" t="n">
        <v>195</v>
      </c>
      <c r="D54" s="49" t="n">
        <v>2023</v>
      </c>
      <c r="E54" s="70" t="n">
        <v>2757.95923626099</v>
      </c>
      <c r="F54" s="49" t="n">
        <v>2023</v>
      </c>
      <c r="G54" s="71">
        <f>LN(E54)</f>
        <v/>
      </c>
      <c r="H54" s="49" t="n">
        <v>1</v>
      </c>
      <c r="I54" s="49" t="inlineStr">
        <is>
          <t>Electoral autocracy</t>
        </is>
      </c>
      <c r="J54" s="49" t="n">
        <v>2023</v>
      </c>
      <c r="K54" s="72" t="n">
        <v>36.0705648652283</v>
      </c>
      <c r="L54" s="49" t="n">
        <v>2021</v>
      </c>
      <c r="M54" s="54">
        <f>IF(K54="","Missing","Observed")</f>
        <v/>
      </c>
      <c r="N54" s="71">
        <f>LN(C54)</f>
        <v/>
      </c>
      <c r="O54" s="49">
        <f>IF($H54=1,1,0)</f>
        <v/>
      </c>
      <c r="P54" s="49">
        <f>IF($H54=2,1,0)</f>
        <v/>
      </c>
      <c r="Q54" s="49">
        <f>IF($H54=3,1,0)</f>
        <v/>
      </c>
      <c r="R54" s="49">
        <f>IF($L54="","",$L54-2018)</f>
        <v/>
      </c>
      <c r="S54" s="49" t="str"/>
    </row>
    <row r="55">
      <c r="A55" s="49" t="inlineStr">
        <is>
          <t>FJI</t>
        </is>
      </c>
      <c r="B55" s="49" t="inlineStr">
        <is>
          <t>Fiji</t>
        </is>
      </c>
      <c r="C55" s="69" t="n">
        <v>30</v>
      </c>
      <c r="D55" s="49" t="n">
        <v>2023</v>
      </c>
      <c r="E55" s="70" t="n">
        <v>13194.8047570404</v>
      </c>
      <c r="F55" s="49" t="n">
        <v>2023</v>
      </c>
      <c r="G55" s="71">
        <f>LN(E55)</f>
        <v/>
      </c>
      <c r="H55" s="49" t="n">
        <v>2</v>
      </c>
      <c r="I55" s="49" t="inlineStr">
        <is>
          <t>Electoral democracy</t>
        </is>
      </c>
      <c r="J55" s="49" t="n">
        <v>2023</v>
      </c>
      <c r="K55" s="72" t="n">
        <v>35.4</v>
      </c>
      <c r="L55" s="49" t="n">
        <v>2021</v>
      </c>
      <c r="M55" s="54">
        <f>IF(K55="","Missing","Observed")</f>
        <v/>
      </c>
      <c r="N55" s="71">
        <f>LN(C55)</f>
        <v/>
      </c>
      <c r="O55" s="49">
        <f>IF($H55=1,1,0)</f>
        <v/>
      </c>
      <c r="P55" s="49">
        <f>IF($H55=2,1,0)</f>
        <v/>
      </c>
      <c r="Q55" s="49">
        <f>IF($H55=3,1,0)</f>
        <v/>
      </c>
      <c r="R55" s="49">
        <f>IF($L55="","",$L55-2018)</f>
        <v/>
      </c>
      <c r="S55" s="49" t="str"/>
    </row>
    <row r="56">
      <c r="A56" s="49" t="inlineStr">
        <is>
          <t>FIN</t>
        </is>
      </c>
      <c r="B56" s="49" t="inlineStr">
        <is>
          <t>Finland</t>
        </is>
      </c>
      <c r="C56" s="69" t="n">
        <v>8</v>
      </c>
      <c r="D56" s="49" t="n">
        <v>2023</v>
      </c>
      <c r="E56" s="70" t="n">
        <v>56051.7701129501</v>
      </c>
      <c r="F56" s="49" t="n">
        <v>2023</v>
      </c>
      <c r="G56" s="71">
        <f>LN(E56)</f>
        <v/>
      </c>
      <c r="H56" s="49" t="n">
        <v>3</v>
      </c>
      <c r="I56" s="49" t="inlineStr">
        <is>
          <t>Liberal democracy</t>
        </is>
      </c>
      <c r="J56" s="49" t="n">
        <v>2023</v>
      </c>
      <c r="K56" s="72" t="n">
        <v>85.4748603351955</v>
      </c>
      <c r="L56" s="49" t="n">
        <v>2015</v>
      </c>
      <c r="M56" s="54">
        <f>IF(K56="","Missing","Observed")</f>
        <v/>
      </c>
      <c r="N56" s="71">
        <f>LN(C56)</f>
        <v/>
      </c>
      <c r="O56" s="49">
        <f>IF($H56=1,1,0)</f>
        <v/>
      </c>
      <c r="P56" s="49">
        <f>IF($H56=2,1,0)</f>
        <v/>
      </c>
      <c r="Q56" s="49">
        <f>IF($H56=3,1,0)</f>
        <v/>
      </c>
      <c r="R56" s="49">
        <f>IF($L56="","",$L56-2018)</f>
        <v/>
      </c>
      <c r="S56" s="49" t="str"/>
    </row>
    <row r="57">
      <c r="A57" s="49" t="inlineStr">
        <is>
          <t>FRA</t>
        </is>
      </c>
      <c r="B57" s="49" t="inlineStr">
        <is>
          <t>France</t>
        </is>
      </c>
      <c r="C57" s="69" t="n">
        <v>7</v>
      </c>
      <c r="D57" s="49" t="n">
        <v>2023</v>
      </c>
      <c r="E57" s="70" t="n">
        <v>54296.7230897731</v>
      </c>
      <c r="F57" s="49" t="n">
        <v>2023</v>
      </c>
      <c r="G57" s="71">
        <f>LN(E57)</f>
        <v/>
      </c>
      <c r="H57" s="49" t="n">
        <v>3</v>
      </c>
      <c r="I57" s="49" t="inlineStr">
        <is>
          <t>Liberal democracy</t>
        </is>
      </c>
      <c r="J57" s="49" t="n">
        <v>2023</v>
      </c>
      <c r="K57" s="72" t="n">
        <v>78.40000000000001</v>
      </c>
      <c r="L57" s="49" t="n">
        <v>2010</v>
      </c>
      <c r="M57" s="54">
        <f>IF(K57="","Missing","Observed")</f>
        <v/>
      </c>
      <c r="N57" s="71">
        <f>LN(C57)</f>
        <v/>
      </c>
      <c r="O57" s="49">
        <f>IF($H57=1,1,0)</f>
        <v/>
      </c>
      <c r="P57" s="49">
        <f>IF($H57=2,1,0)</f>
        <v/>
      </c>
      <c r="Q57" s="49">
        <f>IF($H57=3,1,0)</f>
        <v/>
      </c>
      <c r="R57" s="49">
        <f>IF($L57="","",$L57-2018)</f>
        <v/>
      </c>
      <c r="S57" s="49" t="str"/>
    </row>
    <row r="58">
      <c r="A58" s="49" t="inlineStr">
        <is>
          <t>GAB</t>
        </is>
      </c>
      <c r="B58" s="49" t="inlineStr">
        <is>
          <t>Gabon</t>
        </is>
      </c>
      <c r="C58" s="69" t="n">
        <v>233</v>
      </c>
      <c r="D58" s="49" t="n">
        <v>2023</v>
      </c>
      <c r="E58" s="70" t="n">
        <v>18701.4227766323</v>
      </c>
      <c r="F58" s="49" t="n">
        <v>2023</v>
      </c>
      <c r="G58" s="71">
        <f>LN(E58)</f>
        <v/>
      </c>
      <c r="H58" s="49" t="n">
        <v>0</v>
      </c>
      <c r="I58" s="49" t="inlineStr">
        <is>
          <t>Closed autocracy</t>
        </is>
      </c>
      <c r="J58" s="49" t="n">
        <v>2023</v>
      </c>
      <c r="K58" s="72" t="n">
        <v>24.8</v>
      </c>
      <c r="L58" s="49" t="n">
        <v>2021</v>
      </c>
      <c r="M58" s="54">
        <f>IF(K58="","Missing","Observed")</f>
        <v/>
      </c>
      <c r="N58" s="71">
        <f>LN(C58)</f>
        <v/>
      </c>
      <c r="O58" s="49">
        <f>IF($H58=1,1,0)</f>
        <v/>
      </c>
      <c r="P58" s="49">
        <f>IF($H58=2,1,0)</f>
        <v/>
      </c>
      <c r="Q58" s="49">
        <f>IF($H58=3,1,0)</f>
        <v/>
      </c>
      <c r="R58" s="49">
        <f>IF($L58="","",$L58-2018)</f>
        <v/>
      </c>
      <c r="S58" s="49" t="str"/>
    </row>
    <row r="59">
      <c r="A59" s="49" t="inlineStr">
        <is>
          <t>GMB</t>
        </is>
      </c>
      <c r="B59" s="49" t="inlineStr">
        <is>
          <t>Gambia, The</t>
        </is>
      </c>
      <c r="C59" s="69" t="n">
        <v>354</v>
      </c>
      <c r="D59" s="49" t="n">
        <v>2023</v>
      </c>
      <c r="E59" s="70" t="n">
        <v>2963.59873467436</v>
      </c>
      <c r="F59" s="49" t="n">
        <v>2023</v>
      </c>
      <c r="G59" s="71">
        <f>LN(E59)</f>
        <v/>
      </c>
      <c r="H59" s="49" t="n">
        <v>2</v>
      </c>
      <c r="I59" s="49" t="inlineStr">
        <is>
          <t>Electoral democracy</t>
        </is>
      </c>
      <c r="J59" s="49" t="n">
        <v>2023</v>
      </c>
      <c r="K59" s="72" t="n">
        <v>18.9</v>
      </c>
      <c r="L59" s="49" t="n">
        <v>2020</v>
      </c>
      <c r="M59" s="54">
        <f>IF(K59="","Missing","Observed")</f>
        <v/>
      </c>
      <c r="N59" s="71">
        <f>LN(C59)</f>
        <v/>
      </c>
      <c r="O59" s="49">
        <f>IF($H59=1,1,0)</f>
        <v/>
      </c>
      <c r="P59" s="49">
        <f>IF($H59=2,1,0)</f>
        <v/>
      </c>
      <c r="Q59" s="49">
        <f>IF($H59=3,1,0)</f>
        <v/>
      </c>
      <c r="R59" s="49">
        <f>IF($L59="","",$L59-2018)</f>
        <v/>
      </c>
      <c r="S59" s="49" t="str"/>
    </row>
    <row r="60">
      <c r="A60" s="49" t="inlineStr">
        <is>
          <t>GEO</t>
        </is>
      </c>
      <c r="B60" s="49" t="inlineStr">
        <is>
          <t>Georgia</t>
        </is>
      </c>
      <c r="C60" s="69" t="n">
        <v>20</v>
      </c>
      <c r="D60" s="49" t="n">
        <v>2023</v>
      </c>
      <c r="E60" s="70" t="n">
        <v>22590.5293649146</v>
      </c>
      <c r="F60" s="49" t="n">
        <v>2023</v>
      </c>
      <c r="G60" s="71">
        <f>LN(E60)</f>
        <v/>
      </c>
      <c r="H60" s="49" t="n">
        <v>2</v>
      </c>
      <c r="I60" s="49" t="inlineStr">
        <is>
          <t>Electoral democracy</t>
        </is>
      </c>
      <c r="J60" s="49" t="n">
        <v>2023</v>
      </c>
      <c r="K60" s="72" t="n">
        <v>39.25737653</v>
      </c>
      <c r="L60" s="49" t="n">
        <v>2018</v>
      </c>
      <c r="M60" s="54">
        <f>IF(K60="","Missing","Observed")</f>
        <v/>
      </c>
      <c r="N60" s="71">
        <f>LN(C60)</f>
        <v/>
      </c>
      <c r="O60" s="49">
        <f>IF($H60=1,1,0)</f>
        <v/>
      </c>
      <c r="P60" s="49">
        <f>IF($H60=2,1,0)</f>
        <v/>
      </c>
      <c r="Q60" s="49">
        <f>IF($H60=3,1,0)</f>
        <v/>
      </c>
      <c r="R60" s="49">
        <f>IF($L60="","",$L60-2018)</f>
        <v/>
      </c>
      <c r="S60" s="49" t="str"/>
    </row>
    <row r="61">
      <c r="A61" s="49" t="inlineStr">
        <is>
          <t>DEU</t>
        </is>
      </c>
      <c r="B61" s="49" t="inlineStr">
        <is>
          <t>Germany</t>
        </is>
      </c>
      <c r="C61" s="69" t="n">
        <v>4</v>
      </c>
      <c r="D61" s="49" t="n">
        <v>2023</v>
      </c>
      <c r="E61" s="70" t="n">
        <v>63140.1949099669</v>
      </c>
      <c r="F61" s="49" t="n">
        <v>2023</v>
      </c>
      <c r="G61" s="71">
        <f>LN(E61)</f>
        <v/>
      </c>
      <c r="H61" s="49" t="n">
        <v>3</v>
      </c>
      <c r="I61" s="49" t="inlineStr">
        <is>
          <t>Liberal democracy</t>
        </is>
      </c>
      <c r="J61" s="49" t="n">
        <v>2023</v>
      </c>
      <c r="K61" s="72" t="n">
        <v>80.3</v>
      </c>
      <c r="L61" s="49" t="n">
        <v>2011</v>
      </c>
      <c r="M61" s="54">
        <f>IF(K61="","Missing","Observed")</f>
        <v/>
      </c>
      <c r="N61" s="71">
        <f>LN(C61)</f>
        <v/>
      </c>
      <c r="O61" s="49">
        <f>IF($H61=1,1,0)</f>
        <v/>
      </c>
      <c r="P61" s="49">
        <f>IF($H61=2,1,0)</f>
        <v/>
      </c>
      <c r="Q61" s="49">
        <f>IF($H61=3,1,0)</f>
        <v/>
      </c>
      <c r="R61" s="49">
        <f>IF($L61="","",$L61-2018)</f>
        <v/>
      </c>
      <c r="S61" s="49" t="str"/>
    </row>
    <row r="62">
      <c r="A62" s="49" t="inlineStr">
        <is>
          <t>GHA</t>
        </is>
      </c>
      <c r="B62" s="49" t="inlineStr">
        <is>
          <t>Ghana</t>
        </is>
      </c>
      <c r="C62" s="69" t="n">
        <v>234</v>
      </c>
      <c r="D62" s="49" t="n">
        <v>2023</v>
      </c>
      <c r="E62" s="70" t="n">
        <v>6808.53775003964</v>
      </c>
      <c r="F62" s="49" t="n">
        <v>2023</v>
      </c>
      <c r="G62" s="71">
        <f>LN(E62)</f>
        <v/>
      </c>
      <c r="H62" s="49" t="n">
        <v>2</v>
      </c>
      <c r="I62" s="49" t="inlineStr">
        <is>
          <t>Electoral democracy</t>
        </is>
      </c>
      <c r="J62" s="49" t="n">
        <v>2023</v>
      </c>
      <c r="K62" s="72" t="n">
        <v>36.3</v>
      </c>
      <c r="L62" s="49" t="n">
        <v>2022</v>
      </c>
      <c r="M62" s="54">
        <f>IF(K62="","Missing","Observed")</f>
        <v/>
      </c>
      <c r="N62" s="71">
        <f>LN(C62)</f>
        <v/>
      </c>
      <c r="O62" s="49">
        <f>IF($H62=1,1,0)</f>
        <v/>
      </c>
      <c r="P62" s="49">
        <f>IF($H62=2,1,0)</f>
        <v/>
      </c>
      <c r="Q62" s="49">
        <f>IF($H62=3,1,0)</f>
        <v/>
      </c>
      <c r="R62" s="49">
        <f>IF($L62="","",$L62-2018)</f>
        <v/>
      </c>
      <c r="S62" s="49" t="str"/>
    </row>
    <row r="63">
      <c r="A63" s="49" t="inlineStr">
        <is>
          <t>GRC</t>
        </is>
      </c>
      <c r="B63" s="49" t="inlineStr">
        <is>
          <t>Greece</t>
        </is>
      </c>
      <c r="C63" s="69" t="n">
        <v>5</v>
      </c>
      <c r="D63" s="49" t="n">
        <v>2023</v>
      </c>
      <c r="E63" s="70" t="n">
        <v>36700.5134631055</v>
      </c>
      <c r="F63" s="49" t="n">
        <v>2023</v>
      </c>
      <c r="G63" s="71">
        <f>LN(E63)</f>
        <v/>
      </c>
      <c r="H63" s="49" t="n">
        <v>2</v>
      </c>
      <c r="I63" s="49" t="inlineStr">
        <is>
          <t>Electoral democracy</t>
        </is>
      </c>
      <c r="J63" s="49" t="n">
        <v>2023</v>
      </c>
      <c r="K63" s="72" t="n"/>
      <c r="L63" s="49" t="n"/>
      <c r="M63" s="54">
        <f>IF(K63="","Missing","Observed")</f>
        <v/>
      </c>
      <c r="N63" s="71">
        <f>LN(C63)</f>
        <v/>
      </c>
      <c r="O63" s="49">
        <f>IF($H63=1,1,0)</f>
        <v/>
      </c>
      <c r="P63" s="49">
        <f>IF($H63=2,1,0)</f>
        <v/>
      </c>
      <c r="Q63" s="49">
        <f>IF($H63=3,1,0)</f>
        <v/>
      </c>
      <c r="R63" s="49">
        <f>IF($L63="","",$L63-2018)</f>
        <v/>
      </c>
      <c r="S63" s="49" t="str"/>
    </row>
    <row r="64">
      <c r="A64" s="49" t="inlineStr">
        <is>
          <t>GTM</t>
        </is>
      </c>
      <c r="B64" s="49" t="inlineStr">
        <is>
          <t>Guatemala</t>
        </is>
      </c>
      <c r="C64" s="69" t="n">
        <v>94</v>
      </c>
      <c r="D64" s="49" t="n">
        <v>2023</v>
      </c>
      <c r="E64" s="70" t="n">
        <v>12380.3715121996</v>
      </c>
      <c r="F64" s="49" t="n">
        <v>2023</v>
      </c>
      <c r="G64" s="71">
        <f>LN(E64)</f>
        <v/>
      </c>
      <c r="H64" s="49" t="n">
        <v>2</v>
      </c>
      <c r="I64" s="49" t="inlineStr">
        <is>
          <t>Electoral democracy</t>
        </is>
      </c>
      <c r="J64" s="49" t="n">
        <v>2023</v>
      </c>
      <c r="K64" s="72" t="n">
        <v>60.6</v>
      </c>
      <c r="L64" s="49" t="n">
        <v>2015</v>
      </c>
      <c r="M64" s="54">
        <f>IF(K64="","Missing","Observed")</f>
        <v/>
      </c>
      <c r="N64" s="71">
        <f>LN(C64)</f>
        <v/>
      </c>
      <c r="O64" s="49">
        <f>IF($H64=1,1,0)</f>
        <v/>
      </c>
      <c r="P64" s="49">
        <f>IF($H64=2,1,0)</f>
        <v/>
      </c>
      <c r="Q64" s="49">
        <f>IF($H64=3,1,0)</f>
        <v/>
      </c>
      <c r="R64" s="49">
        <f>IF($L64="","",$L64-2018)</f>
        <v/>
      </c>
      <c r="S64" s="49" t="str"/>
    </row>
    <row r="65">
      <c r="A65" s="49" t="inlineStr">
        <is>
          <t>GIN</t>
        </is>
      </c>
      <c r="B65" s="49" t="inlineStr">
        <is>
          <t>Guinea</t>
        </is>
      </c>
      <c r="C65" s="69" t="n">
        <v>494</v>
      </c>
      <c r="D65" s="49" t="n">
        <v>2023</v>
      </c>
      <c r="E65" s="70" t="n">
        <v>3904.82395527998</v>
      </c>
      <c r="F65" s="49" t="n">
        <v>2023</v>
      </c>
      <c r="G65" s="71">
        <f>LN(E65)</f>
        <v/>
      </c>
      <c r="H65" s="49" t="n">
        <v>0</v>
      </c>
      <c r="I65" s="49" t="inlineStr">
        <is>
          <t>Closed autocracy</t>
        </is>
      </c>
      <c r="J65" s="49" t="n">
        <v>2023</v>
      </c>
      <c r="K65" s="72" t="n">
        <v>10.9</v>
      </c>
      <c r="L65" s="49" t="n">
        <v>2018</v>
      </c>
      <c r="M65" s="54">
        <f>IF(K65="","Missing","Observed")</f>
        <v/>
      </c>
      <c r="N65" s="71">
        <f>LN(C65)</f>
        <v/>
      </c>
      <c r="O65" s="49">
        <f>IF($H65=1,1,0)</f>
        <v/>
      </c>
      <c r="P65" s="49">
        <f>IF($H65=2,1,0)</f>
        <v/>
      </c>
      <c r="Q65" s="49">
        <f>IF($H65=3,1,0)</f>
        <v/>
      </c>
      <c r="R65" s="49">
        <f>IF($L65="","",$L65-2018)</f>
        <v/>
      </c>
      <c r="S65" s="49" t="str"/>
    </row>
    <row r="66">
      <c r="A66" s="49" t="inlineStr">
        <is>
          <t>GNB</t>
        </is>
      </c>
      <c r="B66" s="49" t="inlineStr">
        <is>
          <t>Guinea-Bissau</t>
        </is>
      </c>
      <c r="C66" s="69" t="n">
        <v>505</v>
      </c>
      <c r="D66" s="49" t="n">
        <v>2023</v>
      </c>
      <c r="E66" s="70" t="n">
        <v>2660.81444655656</v>
      </c>
      <c r="F66" s="49" t="n">
        <v>2023</v>
      </c>
      <c r="G66" s="71">
        <f>LN(E66)</f>
        <v/>
      </c>
      <c r="H66" s="49" t="n">
        <v>1</v>
      </c>
      <c r="I66" s="49" t="inlineStr">
        <is>
          <t>Electoral autocracy</t>
        </is>
      </c>
      <c r="J66" s="49" t="n">
        <v>2023</v>
      </c>
      <c r="K66" s="72" t="n">
        <v>21.201503046269</v>
      </c>
      <c r="L66" s="49" t="n">
        <v>2019</v>
      </c>
      <c r="M66" s="54">
        <f>IF(K66="","Missing","Observed")</f>
        <v/>
      </c>
      <c r="N66" s="71">
        <f>LN(C66)</f>
        <v/>
      </c>
      <c r="O66" s="49">
        <f>IF($H66=1,1,0)</f>
        <v/>
      </c>
      <c r="P66" s="49">
        <f>IF($H66=2,1,0)</f>
        <v/>
      </c>
      <c r="Q66" s="49">
        <f>IF($H66=3,1,0)</f>
        <v/>
      </c>
      <c r="R66" s="49">
        <f>IF($L66="","",$L66-2018)</f>
        <v/>
      </c>
      <c r="S66" s="49" t="str"/>
    </row>
    <row r="67">
      <c r="A67" s="49" t="inlineStr">
        <is>
          <t>GUY</t>
        </is>
      </c>
      <c r="B67" s="49" t="inlineStr">
        <is>
          <t>Guyana</t>
        </is>
      </c>
      <c r="C67" s="69" t="n">
        <v>75</v>
      </c>
      <c r="D67" s="49" t="n">
        <v>2023</v>
      </c>
      <c r="E67" s="70" t="n">
        <v>49312.3603225444</v>
      </c>
      <c r="F67" s="49" t="n">
        <v>2023</v>
      </c>
      <c r="G67" s="71">
        <f>LN(E67)</f>
        <v/>
      </c>
      <c r="H67" s="49" t="n">
        <v>1</v>
      </c>
      <c r="I67" s="49" t="inlineStr">
        <is>
          <t>Electoral autocracy</t>
        </is>
      </c>
      <c r="J67" s="49" t="n">
        <v>2023</v>
      </c>
      <c r="K67" s="72" t="n">
        <v>29.8771395174816</v>
      </c>
      <c r="L67" s="49" t="n">
        <v>2020</v>
      </c>
      <c r="M67" s="54">
        <f>IF(K67="","Missing","Observed")</f>
        <v/>
      </c>
      <c r="N67" s="71">
        <f>LN(C67)</f>
        <v/>
      </c>
      <c r="O67" s="49">
        <f>IF($H67=1,1,0)</f>
        <v/>
      </c>
      <c r="P67" s="49">
        <f>IF($H67=2,1,0)</f>
        <v/>
      </c>
      <c r="Q67" s="49">
        <f>IF($H67=3,1,0)</f>
        <v/>
      </c>
      <c r="R67" s="49">
        <f>IF($L67="","",$L67-2018)</f>
        <v/>
      </c>
      <c r="S67" s="49" t="str"/>
    </row>
    <row r="68">
      <c r="A68" s="49" t="inlineStr">
        <is>
          <t>HTI</t>
        </is>
      </c>
      <c r="B68" s="49" t="inlineStr">
        <is>
          <t>Haiti</t>
        </is>
      </c>
      <c r="C68" s="69" t="n">
        <v>328</v>
      </c>
      <c r="D68" s="49" t="n">
        <v>2023</v>
      </c>
      <c r="E68" s="70" t="n">
        <v>2939.1237948199</v>
      </c>
      <c r="F68" s="49" t="n">
        <v>2023</v>
      </c>
      <c r="G68" s="71">
        <f>LN(E68)</f>
        <v/>
      </c>
      <c r="H68" s="49" t="n">
        <v>0</v>
      </c>
      <c r="I68" s="49" t="inlineStr">
        <is>
          <t>Closed autocracy</t>
        </is>
      </c>
      <c r="J68" s="49" t="n">
        <v>2023</v>
      </c>
      <c r="K68" s="72" t="n">
        <v>34.3</v>
      </c>
      <c r="L68" s="49" t="n">
        <v>2017</v>
      </c>
      <c r="M68" s="54">
        <f>IF(K68="","Missing","Observed")</f>
        <v/>
      </c>
      <c r="N68" s="71">
        <f>LN(C68)</f>
        <v/>
      </c>
      <c r="O68" s="49">
        <f>IF($H68=1,1,0)</f>
        <v/>
      </c>
      <c r="P68" s="49">
        <f>IF($H68=2,1,0)</f>
        <v/>
      </c>
      <c r="Q68" s="49">
        <f>IF($H68=3,1,0)</f>
        <v/>
      </c>
      <c r="R68" s="49">
        <f>IF($L68="","",$L68-2018)</f>
        <v/>
      </c>
      <c r="S68" s="49" t="str"/>
    </row>
    <row r="69">
      <c r="A69" s="49" t="inlineStr">
        <is>
          <t>HND</t>
        </is>
      </c>
      <c r="B69" s="49" t="inlineStr">
        <is>
          <t>Honduras</t>
        </is>
      </c>
      <c r="C69" s="69" t="n">
        <v>47</v>
      </c>
      <c r="D69" s="49" t="n">
        <v>2023</v>
      </c>
      <c r="E69" s="70" t="n">
        <v>6467.8800352783</v>
      </c>
      <c r="F69" s="49" t="n">
        <v>2023</v>
      </c>
      <c r="G69" s="71">
        <f>LN(E69)</f>
        <v/>
      </c>
      <c r="H69" s="49" t="n">
        <v>2</v>
      </c>
      <c r="I69" s="49" t="inlineStr">
        <is>
          <t>Electoral democracy</t>
        </is>
      </c>
      <c r="J69" s="49" t="n">
        <v>2023</v>
      </c>
      <c r="K69" s="72" t="n">
        <v>69.3736806153714</v>
      </c>
      <c r="L69" s="49" t="n">
        <v>2019</v>
      </c>
      <c r="M69" s="54">
        <f>IF(K69="","Missing","Observed")</f>
        <v/>
      </c>
      <c r="N69" s="71">
        <f>LN(C69)</f>
        <v/>
      </c>
      <c r="O69" s="49">
        <f>IF($H69=1,1,0)</f>
        <v/>
      </c>
      <c r="P69" s="49">
        <f>IF($H69=2,1,0)</f>
        <v/>
      </c>
      <c r="Q69" s="49">
        <f>IF($H69=3,1,0)</f>
        <v/>
      </c>
      <c r="R69" s="49">
        <f>IF($L69="","",$L69-2018)</f>
        <v/>
      </c>
      <c r="S69" s="49" t="str"/>
    </row>
    <row r="70">
      <c r="A70" s="49" t="inlineStr">
        <is>
          <t>HUN</t>
        </is>
      </c>
      <c r="B70" s="49" t="inlineStr">
        <is>
          <t>Hungary</t>
        </is>
      </c>
      <c r="C70" s="69" t="n">
        <v>12</v>
      </c>
      <c r="D70" s="49" t="n">
        <v>2023</v>
      </c>
      <c r="E70" s="70" t="n">
        <v>40333.2546888118</v>
      </c>
      <c r="F70" s="49" t="n">
        <v>2023</v>
      </c>
      <c r="G70" s="71">
        <f>LN(E70)</f>
        <v/>
      </c>
      <c r="H70" s="49" t="n">
        <v>1</v>
      </c>
      <c r="I70" s="49" t="inlineStr">
        <is>
          <t>Electoral autocracy</t>
        </is>
      </c>
      <c r="J70" s="49" t="n">
        <v>2023</v>
      </c>
      <c r="K70" s="72" t="n"/>
      <c r="L70" s="49" t="n"/>
      <c r="M70" s="54">
        <f>IF(K70="","Missing","Observed")</f>
        <v/>
      </c>
      <c r="N70" s="71">
        <f>LN(C70)</f>
        <v/>
      </c>
      <c r="O70" s="49">
        <f>IF($H70=1,1,0)</f>
        <v/>
      </c>
      <c r="P70" s="49">
        <f>IF($H70=2,1,0)</f>
        <v/>
      </c>
      <c r="Q70" s="49">
        <f>IF($H70=3,1,0)</f>
        <v/>
      </c>
      <c r="R70" s="49">
        <f>IF($L70="","",$L70-2018)</f>
        <v/>
      </c>
      <c r="S70" s="49" t="str"/>
    </row>
    <row r="71">
      <c r="A71" s="49" t="inlineStr">
        <is>
          <t>ISL</t>
        </is>
      </c>
      <c r="B71" s="49" t="inlineStr">
        <is>
          <t>Iceland</t>
        </is>
      </c>
      <c r="C71" s="69" t="n">
        <v>3</v>
      </c>
      <c r="D71" s="49" t="n">
        <v>2023</v>
      </c>
      <c r="E71" s="70" t="n">
        <v>69268.12214042241</v>
      </c>
      <c r="F71" s="49" t="n">
        <v>2023</v>
      </c>
      <c r="G71" s="71">
        <f>LN(E71)</f>
        <v/>
      </c>
      <c r="H71" s="49" t="n">
        <v>3</v>
      </c>
      <c r="I71" s="49" t="inlineStr">
        <is>
          <t>Liberal democracy</t>
        </is>
      </c>
      <c r="J71" s="49" t="n">
        <v>2023</v>
      </c>
      <c r="K71" s="72" t="n"/>
      <c r="L71" s="49" t="n"/>
      <c r="M71" s="54">
        <f>IF(K71="","Missing","Observed")</f>
        <v/>
      </c>
      <c r="N71" s="71">
        <f>LN(C71)</f>
        <v/>
      </c>
      <c r="O71" s="49">
        <f>IF($H71=1,1,0)</f>
        <v/>
      </c>
      <c r="P71" s="49">
        <f>IF($H71=2,1,0)</f>
        <v/>
      </c>
      <c r="Q71" s="49">
        <f>IF($H71=3,1,0)</f>
        <v/>
      </c>
      <c r="R71" s="49">
        <f>IF($L71="","",$L71-2018)</f>
        <v/>
      </c>
      <c r="S71" s="49" t="str"/>
    </row>
    <row r="72">
      <c r="A72" s="49" t="inlineStr">
        <is>
          <t>IND</t>
        </is>
      </c>
      <c r="B72" s="49" t="inlineStr">
        <is>
          <t>India</t>
        </is>
      </c>
      <c r="C72" s="69" t="n">
        <v>80</v>
      </c>
      <c r="D72" s="49" t="n">
        <v>2023</v>
      </c>
      <c r="E72" s="70" t="n">
        <v>8870.550276093451</v>
      </c>
      <c r="F72" s="49" t="n">
        <v>2023</v>
      </c>
      <c r="G72" s="71">
        <f>LN(E72)</f>
        <v/>
      </c>
      <c r="H72" s="49" t="n">
        <v>1</v>
      </c>
      <c r="I72" s="49" t="inlineStr">
        <is>
          <t>Electoral autocracy</t>
        </is>
      </c>
      <c r="J72" s="49" t="n">
        <v>2023</v>
      </c>
      <c r="K72" s="72" t="n">
        <v>66.7</v>
      </c>
      <c r="L72" s="49" t="n">
        <v>2021</v>
      </c>
      <c r="M72" s="54">
        <f>IF(K72="","Missing","Observed")</f>
        <v/>
      </c>
      <c r="N72" s="71">
        <f>LN(C72)</f>
        <v/>
      </c>
      <c r="O72" s="49">
        <f>IF($H72=1,1,0)</f>
        <v/>
      </c>
      <c r="P72" s="49">
        <f>IF($H72=2,1,0)</f>
        <v/>
      </c>
      <c r="Q72" s="49">
        <f>IF($H72=3,1,0)</f>
        <v/>
      </c>
      <c r="R72" s="49">
        <f>IF($L72="","",$L72-2018)</f>
        <v/>
      </c>
      <c r="S72" s="49" t="str"/>
    </row>
    <row r="73">
      <c r="A73" s="49" t="inlineStr">
        <is>
          <t>IDN</t>
        </is>
      </c>
      <c r="B73" s="49" t="inlineStr">
        <is>
          <t>Indonesia</t>
        </is>
      </c>
      <c r="C73" s="69" t="n">
        <v>140</v>
      </c>
      <c r="D73" s="49" t="n">
        <v>2023</v>
      </c>
      <c r="E73" s="70" t="n">
        <v>13889.9495012858</v>
      </c>
      <c r="F73" s="49" t="n">
        <v>2023</v>
      </c>
      <c r="G73" s="71">
        <f>LN(E73)</f>
        <v/>
      </c>
      <c r="H73" s="49" t="n">
        <v>2</v>
      </c>
      <c r="I73" s="49" t="inlineStr">
        <is>
          <t>Electoral democracy</t>
        </is>
      </c>
      <c r="J73" s="49" t="n">
        <v>2023</v>
      </c>
      <c r="K73" s="72" t="n">
        <v>52.6</v>
      </c>
      <c r="L73" s="49" t="n">
        <v>2023</v>
      </c>
      <c r="M73" s="54">
        <f>IF(K73="","Missing","Observed")</f>
        <v/>
      </c>
      <c r="N73" s="71">
        <f>LN(C73)</f>
        <v/>
      </c>
      <c r="O73" s="49">
        <f>IF($H73=1,1,0)</f>
        <v/>
      </c>
      <c r="P73" s="49">
        <f>IF($H73=2,1,0)</f>
        <v/>
      </c>
      <c r="Q73" s="49">
        <f>IF($H73=3,1,0)</f>
        <v/>
      </c>
      <c r="R73" s="49">
        <f>IF($L73="","",$L73-2018)</f>
        <v/>
      </c>
      <c r="S73" s="49" t="str"/>
    </row>
    <row r="74">
      <c r="A74" s="49" t="inlineStr">
        <is>
          <t>IRN</t>
        </is>
      </c>
      <c r="B74" s="49" t="inlineStr">
        <is>
          <t>Iran, Islamic Rep.</t>
        </is>
      </c>
      <c r="C74" s="69" t="n">
        <v>16</v>
      </c>
      <c r="D74" s="49" t="n">
        <v>2023</v>
      </c>
      <c r="E74" s="70" t="n">
        <v>17044.8173442641</v>
      </c>
      <c r="F74" s="49" t="n">
        <v>2023</v>
      </c>
      <c r="G74" s="71">
        <f>LN(E74)</f>
        <v/>
      </c>
      <c r="H74" s="49" t="n">
        <v>0</v>
      </c>
      <c r="I74" s="49" t="inlineStr">
        <is>
          <t>Closed autocracy</t>
        </is>
      </c>
      <c r="J74" s="49" t="n">
        <v>2023</v>
      </c>
      <c r="K74" s="72" t="n">
        <v>77.40000000000001</v>
      </c>
      <c r="L74" s="49" t="n">
        <v>2010</v>
      </c>
      <c r="M74" s="54">
        <f>IF(K74="","Missing","Observed")</f>
        <v/>
      </c>
      <c r="N74" s="71">
        <f>LN(C74)</f>
        <v/>
      </c>
      <c r="O74" s="49">
        <f>IF($H74=1,1,0)</f>
        <v/>
      </c>
      <c r="P74" s="49">
        <f>IF($H74=2,1,0)</f>
        <v/>
      </c>
      <c r="Q74" s="49">
        <f>IF($H74=3,1,0)</f>
        <v/>
      </c>
      <c r="R74" s="49">
        <f>IF($L74="","",$L74-2018)</f>
        <v/>
      </c>
      <c r="S74" s="49" t="str"/>
    </row>
    <row r="75">
      <c r="A75" s="49" t="inlineStr">
        <is>
          <t>IRQ</t>
        </is>
      </c>
      <c r="B75" s="49" t="inlineStr">
        <is>
          <t>Iraq</t>
        </is>
      </c>
      <c r="C75" s="69" t="n">
        <v>66</v>
      </c>
      <c r="D75" s="49" t="n">
        <v>2023</v>
      </c>
      <c r="E75" s="70" t="n">
        <v>13202.3228073856</v>
      </c>
      <c r="F75" s="49" t="n">
        <v>2023</v>
      </c>
      <c r="G75" s="71">
        <f>LN(E75)</f>
        <v/>
      </c>
      <c r="H75" s="49" t="n">
        <v>1</v>
      </c>
      <c r="I75" s="49" t="inlineStr">
        <is>
          <t>Electoral autocracy</t>
        </is>
      </c>
      <c r="J75" s="49" t="n">
        <v>2023</v>
      </c>
      <c r="K75" s="72" t="n">
        <v>52.78881501</v>
      </c>
      <c r="L75" s="49" t="n">
        <v>2018</v>
      </c>
      <c r="M75" s="54">
        <f>IF(K75="","Missing","Observed")</f>
        <v/>
      </c>
      <c r="N75" s="71">
        <f>LN(C75)</f>
        <v/>
      </c>
      <c r="O75" s="49">
        <f>IF($H75=1,1,0)</f>
        <v/>
      </c>
      <c r="P75" s="49">
        <f>IF($H75=2,1,0)</f>
        <v/>
      </c>
      <c r="Q75" s="49">
        <f>IF($H75=3,1,0)</f>
        <v/>
      </c>
      <c r="R75" s="49">
        <f>IF($L75="","",$L75-2018)</f>
        <v/>
      </c>
      <c r="S75" s="49" t="str"/>
    </row>
    <row r="76">
      <c r="A76" s="49" t="inlineStr">
        <is>
          <t>IRL</t>
        </is>
      </c>
      <c r="B76" s="49" t="inlineStr">
        <is>
          <t>Ireland</t>
        </is>
      </c>
      <c r="C76" s="69" t="n">
        <v>4</v>
      </c>
      <c r="D76" s="49" t="n">
        <v>2023</v>
      </c>
      <c r="E76" s="70" t="n">
        <v>117659.728593716</v>
      </c>
      <c r="F76" s="49" t="n">
        <v>2023</v>
      </c>
      <c r="G76" s="71">
        <f>LN(E76)</f>
        <v/>
      </c>
      <c r="H76" s="49" t="n">
        <v>3</v>
      </c>
      <c r="I76" s="49" t="inlineStr">
        <is>
          <t>Liberal democracy</t>
        </is>
      </c>
      <c r="J76" s="49" t="n">
        <v>2023</v>
      </c>
      <c r="K76" s="72" t="n">
        <v>73.2626619552415</v>
      </c>
      <c r="L76" s="49" t="n">
        <v>2010</v>
      </c>
      <c r="M76" s="54">
        <f>IF(K76="","Missing","Observed")</f>
        <v/>
      </c>
      <c r="N76" s="71">
        <f>LN(C76)</f>
        <v/>
      </c>
      <c r="O76" s="49">
        <f>IF($H76=1,1,0)</f>
        <v/>
      </c>
      <c r="P76" s="49">
        <f>IF($H76=2,1,0)</f>
        <v/>
      </c>
      <c r="Q76" s="49">
        <f>IF($H76=3,1,0)</f>
        <v/>
      </c>
      <c r="R76" s="49">
        <f>IF($L76="","",$L76-2018)</f>
        <v/>
      </c>
      <c r="S76" s="49" t="str"/>
    </row>
    <row r="77">
      <c r="A77" s="49" t="inlineStr">
        <is>
          <t>ISR</t>
        </is>
      </c>
      <c r="B77" s="49" t="inlineStr">
        <is>
          <t>Israel</t>
        </is>
      </c>
      <c r="C77" s="69" t="n">
        <v>2</v>
      </c>
      <c r="D77" s="49" t="n">
        <v>2023</v>
      </c>
      <c r="E77" s="70" t="n">
        <v>47671.2476926086</v>
      </c>
      <c r="F77" s="49" t="n">
        <v>2023</v>
      </c>
      <c r="G77" s="71">
        <f>LN(E77)</f>
        <v/>
      </c>
      <c r="H77" s="49" t="n">
        <v>2</v>
      </c>
      <c r="I77" s="49" t="inlineStr">
        <is>
          <t>Electoral democracy</t>
        </is>
      </c>
      <c r="J77" s="49" t="n">
        <v>2023</v>
      </c>
      <c r="K77" s="72" t="n"/>
      <c r="L77" s="49" t="n"/>
      <c r="M77" s="54">
        <f>IF(K77="","Missing","Observed")</f>
        <v/>
      </c>
      <c r="N77" s="71">
        <f>LN(C77)</f>
        <v/>
      </c>
      <c r="O77" s="49">
        <f>IF($H77=1,1,0)</f>
        <v/>
      </c>
      <c r="P77" s="49">
        <f>IF($H77=2,1,0)</f>
        <v/>
      </c>
      <c r="Q77" s="49">
        <f>IF($H77=3,1,0)</f>
        <v/>
      </c>
      <c r="R77" s="49">
        <f>IF($L77="","",$L77-2018)</f>
        <v/>
      </c>
      <c r="S77" s="49" t="str"/>
    </row>
    <row r="78">
      <c r="A78" s="49" t="inlineStr">
        <is>
          <t>ITA</t>
        </is>
      </c>
      <c r="B78" s="49" t="inlineStr">
        <is>
          <t>Italy</t>
        </is>
      </c>
      <c r="C78" s="69" t="n">
        <v>6</v>
      </c>
      <c r="D78" s="49" t="n">
        <v>2023</v>
      </c>
      <c r="E78" s="70" t="n">
        <v>52842.6288831758</v>
      </c>
      <c r="F78" s="49" t="n">
        <v>2023</v>
      </c>
      <c r="G78" s="71">
        <f>LN(E78)</f>
        <v/>
      </c>
      <c r="H78" s="49" t="n">
        <v>3</v>
      </c>
      <c r="I78" s="49" t="inlineStr">
        <is>
          <t>Liberal democracy</t>
        </is>
      </c>
      <c r="J78" s="49" t="n">
        <v>2023</v>
      </c>
      <c r="K78" s="72" t="n">
        <v>65.09999999999999</v>
      </c>
      <c r="L78" s="49" t="n">
        <v>2013</v>
      </c>
      <c r="M78" s="54">
        <f>IF(K78="","Missing","Observed")</f>
        <v/>
      </c>
      <c r="N78" s="71">
        <f>LN(C78)</f>
        <v/>
      </c>
      <c r="O78" s="49">
        <f>IF($H78=1,1,0)</f>
        <v/>
      </c>
      <c r="P78" s="49">
        <f>IF($H78=2,1,0)</f>
        <v/>
      </c>
      <c r="Q78" s="49">
        <f>IF($H78=3,1,0)</f>
        <v/>
      </c>
      <c r="R78" s="49">
        <f>IF($L78="","",$L78-2018)</f>
        <v/>
      </c>
      <c r="S78" s="49" t="str"/>
    </row>
    <row r="79">
      <c r="A79" s="49" t="inlineStr">
        <is>
          <t>JAM</t>
        </is>
      </c>
      <c r="B79" s="49" t="inlineStr">
        <is>
          <t>Jamaica</t>
        </is>
      </c>
      <c r="C79" s="69" t="n">
        <v>130</v>
      </c>
      <c r="D79" s="49" t="n">
        <v>2023</v>
      </c>
      <c r="E79" s="70" t="n">
        <v>11398.8120394641</v>
      </c>
      <c r="F79" s="49" t="n">
        <v>2023</v>
      </c>
      <c r="G79" s="71">
        <f>LN(E79)</f>
        <v/>
      </c>
      <c r="H79" s="49" t="n">
        <v>2</v>
      </c>
      <c r="I79" s="49" t="inlineStr">
        <is>
          <t>Electoral democracy</t>
        </is>
      </c>
      <c r="J79" s="49" t="n">
        <v>2023</v>
      </c>
      <c r="K79" s="72" t="n">
        <v>60.6</v>
      </c>
      <c r="L79" s="49" t="n">
        <v>2022</v>
      </c>
      <c r="M79" s="54">
        <f>IF(K79="","Missing","Observed")</f>
        <v/>
      </c>
      <c r="N79" s="71">
        <f>LN(C79)</f>
        <v/>
      </c>
      <c r="O79" s="49">
        <f>IF($H79=1,1,0)</f>
        <v/>
      </c>
      <c r="P79" s="49">
        <f>IF($H79=2,1,0)</f>
        <v/>
      </c>
      <c r="Q79" s="49">
        <f>IF($H79=3,1,0)</f>
        <v/>
      </c>
      <c r="R79" s="49">
        <f>IF($L79="","",$L79-2018)</f>
        <v/>
      </c>
      <c r="S79" s="49" t="str"/>
    </row>
    <row r="80">
      <c r="A80" s="49" t="inlineStr">
        <is>
          <t>JPN</t>
        </is>
      </c>
      <c r="B80" s="49" t="inlineStr">
        <is>
          <t>Japan</t>
        </is>
      </c>
      <c r="C80" s="69" t="n">
        <v>3</v>
      </c>
      <c r="D80" s="49" t="n">
        <v>2023</v>
      </c>
      <c r="E80" s="70" t="n">
        <v>47387.2172542523</v>
      </c>
      <c r="F80" s="49" t="n">
        <v>2023</v>
      </c>
      <c r="G80" s="71">
        <f>LN(E80)</f>
        <v/>
      </c>
      <c r="H80" s="49" t="n">
        <v>3</v>
      </c>
      <c r="I80" s="49" t="inlineStr">
        <is>
          <t>Liberal democracy</t>
        </is>
      </c>
      <c r="J80" s="49" t="n">
        <v>2023</v>
      </c>
      <c r="K80" s="72" t="n">
        <v>58.3383869011522</v>
      </c>
      <c r="L80" s="49" t="n">
        <v>2021</v>
      </c>
      <c r="M80" s="54">
        <f>IF(K80="","Missing","Observed")</f>
        <v/>
      </c>
      <c r="N80" s="71">
        <f>LN(C80)</f>
        <v/>
      </c>
      <c r="O80" s="49">
        <f>IF($H80=1,1,0)</f>
        <v/>
      </c>
      <c r="P80" s="49">
        <f>IF($H80=2,1,0)</f>
        <v/>
      </c>
      <c r="Q80" s="49">
        <f>IF($H80=3,1,0)</f>
        <v/>
      </c>
      <c r="R80" s="49">
        <f>IF($L80="","",$L80-2018)</f>
        <v/>
      </c>
      <c r="S80" s="49" t="str"/>
    </row>
    <row r="81">
      <c r="A81" s="49" t="inlineStr">
        <is>
          <t>JOR</t>
        </is>
      </c>
      <c r="B81" s="49" t="inlineStr">
        <is>
          <t>Jordan</t>
        </is>
      </c>
      <c r="C81" s="69" t="n">
        <v>31</v>
      </c>
      <c r="D81" s="49" t="n">
        <v>2023</v>
      </c>
      <c r="E81" s="70" t="n">
        <v>10308.7821986337</v>
      </c>
      <c r="F81" s="49" t="n">
        <v>2023</v>
      </c>
      <c r="G81" s="71">
        <f>LN(E81)</f>
        <v/>
      </c>
      <c r="H81" s="49" t="n">
        <v>0</v>
      </c>
      <c r="I81" s="49" t="inlineStr">
        <is>
          <t>Closed autocracy</t>
        </is>
      </c>
      <c r="J81" s="49" t="n">
        <v>2023</v>
      </c>
      <c r="K81" s="72" t="n">
        <v>60.1</v>
      </c>
      <c r="L81" s="49" t="n">
        <v>2023</v>
      </c>
      <c r="M81" s="54">
        <f>IF(K81="","Missing","Observed")</f>
        <v/>
      </c>
      <c r="N81" s="71">
        <f>LN(C81)</f>
        <v/>
      </c>
      <c r="O81" s="49">
        <f>IF($H81=1,1,0)</f>
        <v/>
      </c>
      <c r="P81" s="49">
        <f>IF($H81=2,1,0)</f>
        <v/>
      </c>
      <c r="Q81" s="49">
        <f>IF($H81=3,1,0)</f>
        <v/>
      </c>
      <c r="R81" s="49">
        <f>IF($L81="","",$L81-2018)</f>
        <v/>
      </c>
      <c r="S81" s="49" t="str"/>
    </row>
    <row r="82">
      <c r="A82" s="49" t="inlineStr">
        <is>
          <t>KAZ</t>
        </is>
      </c>
      <c r="B82" s="49" t="inlineStr">
        <is>
          <t>Kazakhstan</t>
        </is>
      </c>
      <c r="C82" s="69" t="n">
        <v>10</v>
      </c>
      <c r="D82" s="49" t="n">
        <v>2023</v>
      </c>
      <c r="E82" s="70" t="n">
        <v>34703.2349286604</v>
      </c>
      <c r="F82" s="49" t="n">
        <v>2023</v>
      </c>
      <c r="G82" s="71">
        <f>LN(E82)</f>
        <v/>
      </c>
      <c r="H82" s="49" t="n">
        <v>1</v>
      </c>
      <c r="I82" s="49" t="inlineStr">
        <is>
          <t>Electoral autocracy</t>
        </is>
      </c>
      <c r="J82" s="49" t="n">
        <v>2023</v>
      </c>
      <c r="K82" s="72" t="n">
        <v>52.98</v>
      </c>
      <c r="L82" s="49" t="n">
        <v>2018</v>
      </c>
      <c r="M82" s="54">
        <f>IF(K82="","Missing","Observed")</f>
        <v/>
      </c>
      <c r="N82" s="71">
        <f>LN(C82)</f>
        <v/>
      </c>
      <c r="O82" s="49">
        <f>IF($H82=1,1,0)</f>
        <v/>
      </c>
      <c r="P82" s="49">
        <f>IF($H82=2,1,0)</f>
        <v/>
      </c>
      <c r="Q82" s="49">
        <f>IF($H82=3,1,0)</f>
        <v/>
      </c>
      <c r="R82" s="49">
        <f>IF($L82="","",$L82-2018)</f>
        <v/>
      </c>
      <c r="S82" s="49" t="str"/>
    </row>
    <row r="83">
      <c r="A83" s="49" t="inlineStr">
        <is>
          <t>KEN</t>
        </is>
      </c>
      <c r="B83" s="49" t="inlineStr">
        <is>
          <t>Kenya</t>
        </is>
      </c>
      <c r="C83" s="69" t="n">
        <v>149</v>
      </c>
      <c r="D83" s="49" t="n">
        <v>2023</v>
      </c>
      <c r="E83" s="70" t="n">
        <v>5691.82513474417</v>
      </c>
      <c r="F83" s="49" t="n">
        <v>2023</v>
      </c>
      <c r="G83" s="71">
        <f>LN(E83)</f>
        <v/>
      </c>
      <c r="H83" s="49" t="n">
        <v>2</v>
      </c>
      <c r="I83" s="49" t="inlineStr">
        <is>
          <t>Electoral democracy</t>
        </is>
      </c>
      <c r="J83" s="49" t="n">
        <v>2023</v>
      </c>
      <c r="K83" s="72" t="n">
        <v>62.5</v>
      </c>
      <c r="L83" s="49" t="n">
        <v>2022</v>
      </c>
      <c r="M83" s="54">
        <f>IF(K83="","Missing","Observed")</f>
        <v/>
      </c>
      <c r="N83" s="71">
        <f>LN(C83)</f>
        <v/>
      </c>
      <c r="O83" s="49">
        <f>IF($H83=1,1,0)</f>
        <v/>
      </c>
      <c r="P83" s="49">
        <f>IF($H83=2,1,0)</f>
        <v/>
      </c>
      <c r="Q83" s="49">
        <f>IF($H83=3,1,0)</f>
        <v/>
      </c>
      <c r="R83" s="49">
        <f>IF($L83="","",$L83-2018)</f>
        <v/>
      </c>
      <c r="S83" s="49" t="str"/>
    </row>
    <row r="84">
      <c r="A84" s="49" t="inlineStr">
        <is>
          <t>KOR</t>
        </is>
      </c>
      <c r="B84" s="49" t="inlineStr">
        <is>
          <t>Korea, Rep.</t>
        </is>
      </c>
      <c r="C84" s="69" t="n">
        <v>4</v>
      </c>
      <c r="D84" s="49" t="n">
        <v>2023</v>
      </c>
      <c r="E84" s="70" t="n">
        <v>54029.3434990785</v>
      </c>
      <c r="F84" s="49" t="n">
        <v>2023</v>
      </c>
      <c r="G84" s="71">
        <f>LN(E84)</f>
        <v/>
      </c>
      <c r="H84" s="49" t="n">
        <v>3</v>
      </c>
      <c r="I84" s="49" t="inlineStr">
        <is>
          <t>Liberal democracy</t>
        </is>
      </c>
      <c r="J84" s="49" t="n">
        <v>2023</v>
      </c>
      <c r="K84" s="72" t="n">
        <v>84.22</v>
      </c>
      <c r="L84" s="49" t="n">
        <v>2021</v>
      </c>
      <c r="M84" s="54">
        <f>IF(K84="","Missing","Observed")</f>
        <v/>
      </c>
      <c r="N84" s="71">
        <f>LN(C84)</f>
        <v/>
      </c>
      <c r="O84" s="49">
        <f>IF($H84=1,1,0)</f>
        <v/>
      </c>
      <c r="P84" s="49">
        <f>IF($H84=2,1,0)</f>
        <v/>
      </c>
      <c r="Q84" s="49">
        <f>IF($H84=3,1,0)</f>
        <v/>
      </c>
      <c r="R84" s="49">
        <f>IF($L84="","",$L84-2018)</f>
        <v/>
      </c>
      <c r="S84" s="49" t="str"/>
    </row>
    <row r="85">
      <c r="A85" s="49" t="inlineStr">
        <is>
          <t>KWT</t>
        </is>
      </c>
      <c r="B85" s="49" t="inlineStr">
        <is>
          <t>Kuwait</t>
        </is>
      </c>
      <c r="C85" s="69" t="n">
        <v>8</v>
      </c>
      <c r="D85" s="49" t="n">
        <v>2023</v>
      </c>
      <c r="E85" s="70" t="n">
        <v>47790.1933239144</v>
      </c>
      <c r="F85" s="49" t="n">
        <v>2023</v>
      </c>
      <c r="G85" s="71">
        <f>LN(E85)</f>
        <v/>
      </c>
      <c r="H85" s="49" t="n">
        <v>1</v>
      </c>
      <c r="I85" s="49" t="inlineStr">
        <is>
          <t>Electoral autocracy</t>
        </is>
      </c>
      <c r="J85" s="49" t="n">
        <v>2023</v>
      </c>
      <c r="K85" s="72" t="n"/>
      <c r="L85" s="49" t="n"/>
      <c r="M85" s="54">
        <f>IF(K85="","Missing","Observed")</f>
        <v/>
      </c>
      <c r="N85" s="71">
        <f>LN(C85)</f>
        <v/>
      </c>
      <c r="O85" s="49">
        <f>IF($H85=1,1,0)</f>
        <v/>
      </c>
      <c r="P85" s="49">
        <f>IF($H85=2,1,0)</f>
        <v/>
      </c>
      <c r="Q85" s="49">
        <f>IF($H85=3,1,0)</f>
        <v/>
      </c>
      <c r="R85" s="49">
        <f>IF($L85="","",$L85-2018)</f>
        <v/>
      </c>
      <c r="S85" s="49" t="str"/>
    </row>
    <row r="86">
      <c r="A86" s="49" t="inlineStr">
        <is>
          <t>KGZ</t>
        </is>
      </c>
      <c r="B86" s="49" t="inlineStr">
        <is>
          <t>Kyrgyz Republic</t>
        </is>
      </c>
      <c r="C86" s="69" t="n">
        <v>42</v>
      </c>
      <c r="D86" s="49" t="n">
        <v>2023</v>
      </c>
      <c r="E86" s="70" t="n">
        <v>6575.77541290499</v>
      </c>
      <c r="F86" s="49" t="n">
        <v>2023</v>
      </c>
      <c r="G86" s="71">
        <f>LN(E86)</f>
        <v/>
      </c>
      <c r="H86" s="49" t="n">
        <v>1</v>
      </c>
      <c r="I86" s="49" t="inlineStr">
        <is>
          <t>Electoral autocracy</t>
        </is>
      </c>
      <c r="J86" s="49" t="n">
        <v>2023</v>
      </c>
      <c r="K86" s="72" t="n">
        <v>39.3763412</v>
      </c>
      <c r="L86" s="49" t="n">
        <v>2018</v>
      </c>
      <c r="M86" s="54">
        <f>IF(K86="","Missing","Observed")</f>
        <v/>
      </c>
      <c r="N86" s="71">
        <f>LN(C86)</f>
        <v/>
      </c>
      <c r="O86" s="49">
        <f>IF($H86=1,1,0)</f>
        <v/>
      </c>
      <c r="P86" s="49">
        <f>IF($H86=2,1,0)</f>
        <v/>
      </c>
      <c r="Q86" s="49">
        <f>IF($H86=3,1,0)</f>
        <v/>
      </c>
      <c r="R86" s="49">
        <f>IF($L86="","",$L86-2018)</f>
        <v/>
      </c>
      <c r="S86" s="49" t="str"/>
    </row>
    <row r="87">
      <c r="A87" s="49" t="inlineStr">
        <is>
          <t>LAO</t>
        </is>
      </c>
      <c r="B87" s="49" t="inlineStr">
        <is>
          <t>Lao PDR</t>
        </is>
      </c>
      <c r="C87" s="69" t="n">
        <v>112</v>
      </c>
      <c r="D87" s="49" t="n">
        <v>2023</v>
      </c>
      <c r="E87" s="70" t="n">
        <v>8372.155918744071</v>
      </c>
      <c r="F87" s="49" t="n">
        <v>2023</v>
      </c>
      <c r="G87" s="71">
        <f>LN(E87)</f>
        <v/>
      </c>
      <c r="H87" s="49" t="n">
        <v>0</v>
      </c>
      <c r="I87" s="49" t="inlineStr">
        <is>
          <t>Closed autocracy</t>
        </is>
      </c>
      <c r="J87" s="49" t="n">
        <v>2023</v>
      </c>
      <c r="K87" s="72" t="n">
        <v>56.2757987</v>
      </c>
      <c r="L87" s="49" t="n">
        <v>2017</v>
      </c>
      <c r="M87" s="54">
        <f>IF(K87="","Missing","Observed")</f>
        <v/>
      </c>
      <c r="N87" s="71">
        <f>LN(C87)</f>
        <v/>
      </c>
      <c r="O87" s="49">
        <f>IF($H87=1,1,0)</f>
        <v/>
      </c>
      <c r="P87" s="49">
        <f>IF($H87=2,1,0)</f>
        <v/>
      </c>
      <c r="Q87" s="49">
        <f>IF($H87=3,1,0)</f>
        <v/>
      </c>
      <c r="R87" s="49">
        <f>IF($L87="","",$L87-2018)</f>
        <v/>
      </c>
      <c r="S87" s="49" t="str"/>
    </row>
    <row r="88">
      <c r="A88" s="49" t="inlineStr">
        <is>
          <t>LVA</t>
        </is>
      </c>
      <c r="B88" s="49" t="inlineStr">
        <is>
          <t>Latvia</t>
        </is>
      </c>
      <c r="C88" s="69" t="n">
        <v>19</v>
      </c>
      <c r="D88" s="49" t="n">
        <v>2023</v>
      </c>
      <c r="E88" s="70" t="n">
        <v>37277.7217221317</v>
      </c>
      <c r="F88" s="49" t="n">
        <v>2023</v>
      </c>
      <c r="G88" s="71">
        <f>LN(E88)</f>
        <v/>
      </c>
      <c r="H88" s="49" t="n">
        <v>3</v>
      </c>
      <c r="I88" s="49" t="inlineStr">
        <is>
          <t>Liberal democracy</t>
        </is>
      </c>
      <c r="J88" s="49" t="n">
        <v>2023</v>
      </c>
      <c r="K88" s="72" t="n"/>
      <c r="L88" s="49" t="n"/>
      <c r="M88" s="54">
        <f>IF(K88="","Missing","Observed")</f>
        <v/>
      </c>
      <c r="N88" s="71">
        <f>LN(C88)</f>
        <v/>
      </c>
      <c r="O88" s="49">
        <f>IF($H88=1,1,0)</f>
        <v/>
      </c>
      <c r="P88" s="49">
        <f>IF($H88=2,1,0)</f>
        <v/>
      </c>
      <c r="Q88" s="49">
        <f>IF($H88=3,1,0)</f>
        <v/>
      </c>
      <c r="R88" s="49">
        <f>IF($L88="","",$L88-2018)</f>
        <v/>
      </c>
      <c r="S88" s="49" t="str"/>
    </row>
    <row r="89">
      <c r="A89" s="49" t="inlineStr">
        <is>
          <t>LBN</t>
        </is>
      </c>
      <c r="B89" s="49" t="inlineStr">
        <is>
          <t>Lebanon</t>
        </is>
      </c>
      <c r="C89" s="69" t="n">
        <v>15</v>
      </c>
      <c r="D89" s="49" t="n">
        <v>2023</v>
      </c>
      <c r="E89" s="70" t="n">
        <v>11330.2687387422</v>
      </c>
      <c r="F89" s="49" t="n">
        <v>2023</v>
      </c>
      <c r="G89" s="71">
        <f>LN(E89)</f>
        <v/>
      </c>
      <c r="H89" s="49" t="n">
        <v>1</v>
      </c>
      <c r="I89" s="49" t="inlineStr">
        <is>
          <t>Electoral autocracy</t>
        </is>
      </c>
      <c r="J89" s="49" t="n">
        <v>2023</v>
      </c>
      <c r="K89" s="72" t="n"/>
      <c r="L89" s="49" t="n"/>
      <c r="M89" s="54">
        <f>IF(K89="","Missing","Observed")</f>
        <v/>
      </c>
      <c r="N89" s="71">
        <f>LN(C89)</f>
        <v/>
      </c>
      <c r="O89" s="49">
        <f>IF($H89=1,1,0)</f>
        <v/>
      </c>
      <c r="P89" s="49">
        <f>IF($H89=2,1,0)</f>
        <v/>
      </c>
      <c r="Q89" s="49">
        <f>IF($H89=3,1,0)</f>
        <v/>
      </c>
      <c r="R89" s="49">
        <f>IF($L89="","",$L89-2018)</f>
        <v/>
      </c>
      <c r="S89" s="49" t="str"/>
    </row>
    <row r="90">
      <c r="A90" s="49" t="inlineStr">
        <is>
          <t>LSO</t>
        </is>
      </c>
      <c r="B90" s="49" t="inlineStr">
        <is>
          <t>Lesotho</t>
        </is>
      </c>
      <c r="C90" s="69" t="n">
        <v>478</v>
      </c>
      <c r="D90" s="49" t="n">
        <v>2023</v>
      </c>
      <c r="E90" s="70" t="n">
        <v>2592.4570129526</v>
      </c>
      <c r="F90" s="49" t="n">
        <v>2023</v>
      </c>
      <c r="G90" s="71">
        <f>LN(E90)</f>
        <v/>
      </c>
      <c r="H90" s="49" t="n">
        <v>2</v>
      </c>
      <c r="I90" s="49" t="inlineStr">
        <is>
          <t>Electoral democracy</t>
        </is>
      </c>
      <c r="J90" s="49" t="n">
        <v>2023</v>
      </c>
      <c r="K90" s="72" t="n">
        <v>64.93057330000001</v>
      </c>
      <c r="L90" s="49" t="n">
        <v>2018</v>
      </c>
      <c r="M90" s="54">
        <f>IF(K90="","Missing","Observed")</f>
        <v/>
      </c>
      <c r="N90" s="71">
        <f>LN(C90)</f>
        <v/>
      </c>
      <c r="O90" s="49">
        <f>IF($H90=1,1,0)</f>
        <v/>
      </c>
      <c r="P90" s="49">
        <f>IF($H90=2,1,0)</f>
        <v/>
      </c>
      <c r="Q90" s="49">
        <f>IF($H90=3,1,0)</f>
        <v/>
      </c>
      <c r="R90" s="49">
        <f>IF($L90="","",$L90-2018)</f>
        <v/>
      </c>
      <c r="S90" s="49" t="str"/>
    </row>
    <row r="91">
      <c r="A91" s="49" t="inlineStr">
        <is>
          <t>LBR</t>
        </is>
      </c>
      <c r="B91" s="49" t="inlineStr">
        <is>
          <t>Liberia</t>
        </is>
      </c>
      <c r="C91" s="69" t="n">
        <v>628</v>
      </c>
      <c r="D91" s="49" t="n">
        <v>2023</v>
      </c>
      <c r="E91" s="70" t="n">
        <v>1616.92373356695</v>
      </c>
      <c r="F91" s="49" t="n">
        <v>2023</v>
      </c>
      <c r="G91" s="71">
        <f>LN(E91)</f>
        <v/>
      </c>
      <c r="H91" s="49" t="n">
        <v>2</v>
      </c>
      <c r="I91" s="49" t="inlineStr">
        <is>
          <t>Electoral democracy</t>
        </is>
      </c>
      <c r="J91" s="49" t="n">
        <v>2023</v>
      </c>
      <c r="K91" s="72" t="n">
        <v>24.9</v>
      </c>
      <c r="L91" s="49" t="n">
        <v>2020</v>
      </c>
      <c r="M91" s="54">
        <f>IF(K91="","Missing","Observed")</f>
        <v/>
      </c>
      <c r="N91" s="71">
        <f>LN(C91)</f>
        <v/>
      </c>
      <c r="O91" s="49">
        <f>IF($H91=1,1,0)</f>
        <v/>
      </c>
      <c r="P91" s="49">
        <f>IF($H91=2,1,0)</f>
        <v/>
      </c>
      <c r="Q91" s="49">
        <f>IF($H91=3,1,0)</f>
        <v/>
      </c>
      <c r="R91" s="49">
        <f>IF($L91="","",$L91-2018)</f>
        <v/>
      </c>
      <c r="S91" s="49" t="str"/>
    </row>
    <row r="92">
      <c r="A92" s="49" t="inlineStr">
        <is>
          <t>LBY</t>
        </is>
      </c>
      <c r="B92" s="49" t="inlineStr">
        <is>
          <t>Libya</t>
        </is>
      </c>
      <c r="C92" s="69" t="n">
        <v>59</v>
      </c>
      <c r="D92" s="49" t="n">
        <v>2023</v>
      </c>
      <c r="E92" s="70" t="n">
        <v>12476.5974944083</v>
      </c>
      <c r="F92" s="49" t="n">
        <v>2023</v>
      </c>
      <c r="G92" s="71">
        <f>LN(E92)</f>
        <v/>
      </c>
      <c r="H92" s="49" t="n">
        <v>0</v>
      </c>
      <c r="I92" s="49" t="inlineStr">
        <is>
          <t>Closed autocracy</t>
        </is>
      </c>
      <c r="J92" s="49" t="n">
        <v>2023</v>
      </c>
      <c r="K92" s="72" t="n">
        <v>27.7</v>
      </c>
      <c r="L92" s="49" t="n">
        <v>2014</v>
      </c>
      <c r="M92" s="54">
        <f>IF(K92="","Missing","Observed")</f>
        <v/>
      </c>
      <c r="N92" s="71">
        <f>LN(C92)</f>
        <v/>
      </c>
      <c r="O92" s="49">
        <f>IF($H92=1,1,0)</f>
        <v/>
      </c>
      <c r="P92" s="49">
        <f>IF($H92=2,1,0)</f>
        <v/>
      </c>
      <c r="Q92" s="49">
        <f>IF($H92=3,1,0)</f>
        <v/>
      </c>
      <c r="R92" s="49">
        <f>IF($L92="","",$L92-2018)</f>
        <v/>
      </c>
      <c r="S92" s="49" t="str"/>
    </row>
    <row r="93">
      <c r="A93" s="49" t="inlineStr">
        <is>
          <t>LTU</t>
        </is>
      </c>
      <c r="B93" s="49" t="inlineStr">
        <is>
          <t>Lithuania</t>
        </is>
      </c>
      <c r="C93" s="69" t="n">
        <v>8</v>
      </c>
      <c r="D93" s="49" t="n">
        <v>2023</v>
      </c>
      <c r="E93" s="70" t="n">
        <v>46333.9006965206</v>
      </c>
      <c r="F93" s="49" t="n">
        <v>2023</v>
      </c>
      <c r="G93" s="71">
        <f>LN(E93)</f>
        <v/>
      </c>
      <c r="H93" s="49" t="n">
        <v>2</v>
      </c>
      <c r="I93" s="49" t="inlineStr">
        <is>
          <t>Electoral democracy</t>
        </is>
      </c>
      <c r="J93" s="49" t="n">
        <v>2023</v>
      </c>
      <c r="K93" s="72" t="n"/>
      <c r="L93" s="49" t="n"/>
      <c r="M93" s="54">
        <f>IF(K93="","Missing","Observed")</f>
        <v/>
      </c>
      <c r="N93" s="71">
        <f>LN(C93)</f>
        <v/>
      </c>
      <c r="O93" s="49">
        <f>IF($H93=1,1,0)</f>
        <v/>
      </c>
      <c r="P93" s="49">
        <f>IF($H93=2,1,0)</f>
        <v/>
      </c>
      <c r="Q93" s="49">
        <f>IF($H93=3,1,0)</f>
        <v/>
      </c>
      <c r="R93" s="49">
        <f>IF($L93="","",$L93-2018)</f>
        <v/>
      </c>
      <c r="S93" s="49" t="str"/>
    </row>
    <row r="94">
      <c r="A94" s="49" t="inlineStr">
        <is>
          <t>LUX</t>
        </is>
      </c>
      <c r="B94" s="49" t="inlineStr">
        <is>
          <t>Luxembourg</t>
        </is>
      </c>
      <c r="C94" s="69" t="n">
        <v>11</v>
      </c>
      <c r="D94" s="49" t="n">
        <v>2023</v>
      </c>
      <c r="E94" s="70" t="n">
        <v>130048.922273147</v>
      </c>
      <c r="F94" s="49" t="n">
        <v>2023</v>
      </c>
      <c r="G94" s="71">
        <f>LN(E94)</f>
        <v/>
      </c>
      <c r="H94" s="49" t="n">
        <v>3</v>
      </c>
      <c r="I94" s="49" t="inlineStr">
        <is>
          <t>Liberal democracy</t>
        </is>
      </c>
      <c r="J94" s="49" t="n">
        <v>2023</v>
      </c>
      <c r="K94" s="72" t="n"/>
      <c r="L94" s="49" t="n"/>
      <c r="M94" s="54">
        <f>IF(K94="","Missing","Observed")</f>
        <v/>
      </c>
      <c r="N94" s="71">
        <f>LN(C94)</f>
        <v/>
      </c>
      <c r="O94" s="49">
        <f>IF($H94=1,1,0)</f>
        <v/>
      </c>
      <c r="P94" s="49">
        <f>IF($H94=2,1,0)</f>
        <v/>
      </c>
      <c r="Q94" s="49">
        <f>IF($H94=3,1,0)</f>
        <v/>
      </c>
      <c r="R94" s="49">
        <f>IF($L94="","",$L94-2018)</f>
        <v/>
      </c>
      <c r="S94" s="49" t="str"/>
    </row>
    <row r="95">
      <c r="A95" s="49" t="inlineStr">
        <is>
          <t>MDG</t>
        </is>
      </c>
      <c r="B95" s="49" t="inlineStr">
        <is>
          <t>Madagascar</t>
        </is>
      </c>
      <c r="C95" s="69" t="n">
        <v>445</v>
      </c>
      <c r="D95" s="49" t="n">
        <v>2023</v>
      </c>
      <c r="E95" s="70" t="n">
        <v>1629.6055225489</v>
      </c>
      <c r="F95" s="49" t="n">
        <v>2023</v>
      </c>
      <c r="G95" s="71">
        <f>LN(E95)</f>
        <v/>
      </c>
      <c r="H95" s="49" t="n">
        <v>1</v>
      </c>
      <c r="I95" s="49" t="inlineStr">
        <is>
          <t>Electoral autocracy</t>
        </is>
      </c>
      <c r="J95" s="49" t="n">
        <v>2023</v>
      </c>
      <c r="K95" s="72" t="n">
        <v>49.7</v>
      </c>
      <c r="L95" s="49" t="n">
        <v>2021</v>
      </c>
      <c r="M95" s="54">
        <f>IF(K95="","Missing","Observed")</f>
        <v/>
      </c>
      <c r="N95" s="71">
        <f>LN(C95)</f>
        <v/>
      </c>
      <c r="O95" s="49">
        <f>IF($H95=1,1,0)</f>
        <v/>
      </c>
      <c r="P95" s="49">
        <f>IF($H95=2,1,0)</f>
        <v/>
      </c>
      <c r="Q95" s="49">
        <f>IF($H95=3,1,0)</f>
        <v/>
      </c>
      <c r="R95" s="49">
        <f>IF($L95="","",$L95-2018)</f>
        <v/>
      </c>
      <c r="S95" s="49" t="str"/>
    </row>
    <row r="96">
      <c r="A96" s="49" t="inlineStr">
        <is>
          <t>MWI</t>
        </is>
      </c>
      <c r="B96" s="49" t="inlineStr">
        <is>
          <t>Malawi</t>
        </is>
      </c>
      <c r="C96" s="69" t="n">
        <v>225</v>
      </c>
      <c r="D96" s="49" t="n">
        <v>2023</v>
      </c>
      <c r="E96" s="70" t="n">
        <v>1649.29873234551</v>
      </c>
      <c r="F96" s="49" t="n">
        <v>2023</v>
      </c>
      <c r="G96" s="71">
        <f>LN(E96)</f>
        <v/>
      </c>
      <c r="H96" s="49" t="n">
        <v>2</v>
      </c>
      <c r="I96" s="49" t="inlineStr">
        <is>
          <t>Electoral democracy</t>
        </is>
      </c>
      <c r="J96" s="49" t="n">
        <v>2023</v>
      </c>
      <c r="K96" s="72" t="n">
        <v>65.6131232873079</v>
      </c>
      <c r="L96" s="49" t="n">
        <v>2020</v>
      </c>
      <c r="M96" s="54">
        <f>IF(K96="","Missing","Observed")</f>
        <v/>
      </c>
      <c r="N96" s="71">
        <f>LN(C96)</f>
        <v/>
      </c>
      <c r="O96" s="49">
        <f>IF($H96=1,1,0)</f>
        <v/>
      </c>
      <c r="P96" s="49">
        <f>IF($H96=2,1,0)</f>
        <v/>
      </c>
      <c r="Q96" s="49">
        <f>IF($H96=3,1,0)</f>
        <v/>
      </c>
      <c r="R96" s="49">
        <f>IF($L96="","",$L96-2018)</f>
        <v/>
      </c>
      <c r="S96" s="49" t="str"/>
    </row>
    <row r="97">
      <c r="A97" s="49" t="inlineStr">
        <is>
          <t>MYS</t>
        </is>
      </c>
      <c r="B97" s="49" t="inlineStr">
        <is>
          <t>Malaysia</t>
        </is>
      </c>
      <c r="C97" s="69" t="n">
        <v>26</v>
      </c>
      <c r="D97" s="49" t="n">
        <v>2023</v>
      </c>
      <c r="E97" s="70" t="n">
        <v>32857.6676600774</v>
      </c>
      <c r="F97" s="49" t="n">
        <v>2023</v>
      </c>
      <c r="G97" s="71">
        <f>LN(E97)</f>
        <v/>
      </c>
      <c r="H97" s="49" t="n">
        <v>2</v>
      </c>
      <c r="I97" s="49" t="inlineStr">
        <is>
          <t>Electoral democracy</t>
        </is>
      </c>
      <c r="J97" s="49" t="n">
        <v>2023</v>
      </c>
      <c r="K97" s="72" t="n">
        <v>42.8</v>
      </c>
      <c r="L97" s="49" t="n">
        <v>2022</v>
      </c>
      <c r="M97" s="54">
        <f>IF(K97="","Missing","Observed")</f>
        <v/>
      </c>
      <c r="N97" s="71">
        <f>LN(C97)</f>
        <v/>
      </c>
      <c r="O97" s="49">
        <f>IF($H97=1,1,0)</f>
        <v/>
      </c>
      <c r="P97" s="49">
        <f>IF($H97=2,1,0)</f>
        <v/>
      </c>
      <c r="Q97" s="49">
        <f>IF($H97=3,1,0)</f>
        <v/>
      </c>
      <c r="R97" s="49">
        <f>IF($L97="","",$L97-2018)</f>
        <v/>
      </c>
      <c r="S97" s="49" t="str"/>
    </row>
    <row r="98">
      <c r="A98" s="49" t="inlineStr">
        <is>
          <t>MDV</t>
        </is>
      </c>
      <c r="B98" s="49" t="inlineStr">
        <is>
          <t>Maldives</t>
        </is>
      </c>
      <c r="C98" s="69" t="n">
        <v>32</v>
      </c>
      <c r="D98" s="49" t="n">
        <v>2023</v>
      </c>
      <c r="E98" s="70" t="n">
        <v>22333.0477138175</v>
      </c>
      <c r="F98" s="49" t="n">
        <v>2023</v>
      </c>
      <c r="G98" s="71">
        <f>LN(E98)</f>
        <v/>
      </c>
      <c r="H98" s="49" t="n">
        <v>2</v>
      </c>
      <c r="I98" s="49" t="inlineStr">
        <is>
          <t>Electoral democracy</t>
        </is>
      </c>
      <c r="J98" s="49" t="n">
        <v>2023</v>
      </c>
      <c r="K98" s="72" t="n">
        <v>18.8</v>
      </c>
      <c r="L98" s="49" t="n">
        <v>2017</v>
      </c>
      <c r="M98" s="54">
        <f>IF(K98="","Missing","Observed")</f>
        <v/>
      </c>
      <c r="N98" s="71">
        <f>LN(C98)</f>
        <v/>
      </c>
      <c r="O98" s="49">
        <f>IF($H98=1,1,0)</f>
        <v/>
      </c>
      <c r="P98" s="49">
        <f>IF($H98=2,1,0)</f>
        <v/>
      </c>
      <c r="Q98" s="49">
        <f>IF($H98=3,1,0)</f>
        <v/>
      </c>
      <c r="R98" s="49">
        <f>IF($L98="","",$L98-2018)</f>
        <v/>
      </c>
      <c r="S98" s="49" t="str"/>
    </row>
    <row r="99">
      <c r="A99" s="49" t="inlineStr">
        <is>
          <t>MLI</t>
        </is>
      </c>
      <c r="B99" s="49" t="inlineStr">
        <is>
          <t>Mali</t>
        </is>
      </c>
      <c r="C99" s="69" t="n">
        <v>367</v>
      </c>
      <c r="D99" s="49" t="n">
        <v>2023</v>
      </c>
      <c r="E99" s="70" t="n">
        <v>2861.48058063314</v>
      </c>
      <c r="F99" s="49" t="n">
        <v>2023</v>
      </c>
      <c r="G99" s="71">
        <f>LN(E99)</f>
        <v/>
      </c>
      <c r="H99" s="49" t="n">
        <v>0</v>
      </c>
      <c r="I99" s="49" t="inlineStr">
        <is>
          <t>Closed autocracy</t>
        </is>
      </c>
      <c r="J99" s="49" t="n">
        <v>2023</v>
      </c>
      <c r="K99" s="72" t="n">
        <v>17.2</v>
      </c>
      <c r="L99" s="49" t="n">
        <v>2018</v>
      </c>
      <c r="M99" s="54">
        <f>IF(K99="","Missing","Observed")</f>
        <v/>
      </c>
      <c r="N99" s="71">
        <f>LN(C99)</f>
        <v/>
      </c>
      <c r="O99" s="49">
        <f>IF($H99=1,1,0)</f>
        <v/>
      </c>
      <c r="P99" s="49">
        <f>IF($H99=2,1,0)</f>
        <v/>
      </c>
      <c r="Q99" s="49">
        <f>IF($H99=3,1,0)</f>
        <v/>
      </c>
      <c r="R99" s="49">
        <f>IF($L99="","",$L99-2018)</f>
        <v/>
      </c>
      <c r="S99" s="49" t="str"/>
    </row>
    <row r="100">
      <c r="A100" s="49" t="inlineStr">
        <is>
          <t>MLT</t>
        </is>
      </c>
      <c r="B100" s="49" t="inlineStr">
        <is>
          <t>Malta</t>
        </is>
      </c>
      <c r="C100" s="69" t="n">
        <v>8</v>
      </c>
      <c r="D100" s="49" t="n">
        <v>2023</v>
      </c>
      <c r="E100" s="70" t="n">
        <v>60459.7655182644</v>
      </c>
      <c r="F100" s="49" t="n">
        <v>2023</v>
      </c>
      <c r="G100" s="71">
        <f>LN(E100)</f>
        <v/>
      </c>
      <c r="H100" s="49" t="n">
        <v>2</v>
      </c>
      <c r="I100" s="49" t="inlineStr">
        <is>
          <t>Electoral democracy</t>
        </is>
      </c>
      <c r="J100" s="49" t="n">
        <v>2023</v>
      </c>
      <c r="K100" s="72" t="n"/>
      <c r="L100" s="49" t="n"/>
      <c r="M100" s="54">
        <f>IF(K100="","Missing","Observed")</f>
        <v/>
      </c>
      <c r="N100" s="71">
        <f>LN(C100)</f>
        <v/>
      </c>
      <c r="O100" s="49">
        <f>IF($H100=1,1,0)</f>
        <v/>
      </c>
      <c r="P100" s="49">
        <f>IF($H100=2,1,0)</f>
        <v/>
      </c>
      <c r="Q100" s="49">
        <f>IF($H100=3,1,0)</f>
        <v/>
      </c>
      <c r="R100" s="49">
        <f>IF($L100="","",$L100-2018)</f>
        <v/>
      </c>
      <c r="S100" s="49" t="str"/>
    </row>
    <row r="101">
      <c r="A101" s="49" t="inlineStr">
        <is>
          <t>MRT</t>
        </is>
      </c>
      <c r="B101" s="49" t="inlineStr">
        <is>
          <t>Mauritania</t>
        </is>
      </c>
      <c r="C101" s="69" t="n">
        <v>381</v>
      </c>
      <c r="D101" s="49" t="n">
        <v>2023</v>
      </c>
      <c r="E101" s="70" t="n">
        <v>6276.47521075653</v>
      </c>
      <c r="F101" s="49" t="n">
        <v>2023</v>
      </c>
      <c r="G101" s="71">
        <f>LN(E101)</f>
        <v/>
      </c>
      <c r="H101" s="49" t="n">
        <v>1</v>
      </c>
      <c r="I101" s="49" t="inlineStr">
        <is>
          <t>Electoral autocracy</t>
        </is>
      </c>
      <c r="J101" s="49" t="n">
        <v>2023</v>
      </c>
      <c r="K101" s="72" t="n">
        <v>14.3</v>
      </c>
      <c r="L101" s="49" t="n">
        <v>2021</v>
      </c>
      <c r="M101" s="54">
        <f>IF(K101="","Missing","Observed")</f>
        <v/>
      </c>
      <c r="N101" s="71">
        <f>LN(C101)</f>
        <v/>
      </c>
      <c r="O101" s="49">
        <f>IF($H101=1,1,0)</f>
        <v/>
      </c>
      <c r="P101" s="49">
        <f>IF($H101=2,1,0)</f>
        <v/>
      </c>
      <c r="Q101" s="49">
        <f>IF($H101=3,1,0)</f>
        <v/>
      </c>
      <c r="R101" s="49">
        <f>IF($L101="","",$L101-2018)</f>
        <v/>
      </c>
      <c r="S101" s="49" t="str"/>
    </row>
    <row r="102">
      <c r="A102" s="49" t="inlineStr">
        <is>
          <t>MUS</t>
        </is>
      </c>
      <c r="B102" s="49" t="inlineStr">
        <is>
          <t>Mauritius</t>
        </is>
      </c>
      <c r="C102" s="69" t="n">
        <v>66</v>
      </c>
      <c r="D102" s="49" t="n">
        <v>2023</v>
      </c>
      <c r="E102" s="70" t="n">
        <v>26471.0351422892</v>
      </c>
      <c r="F102" s="49" t="n">
        <v>2023</v>
      </c>
      <c r="G102" s="71">
        <f>LN(E102)</f>
        <v/>
      </c>
      <c r="H102" s="49" t="n">
        <v>1</v>
      </c>
      <c r="I102" s="49" t="inlineStr">
        <is>
          <t>Electoral autocracy</t>
        </is>
      </c>
      <c r="J102" s="49" t="n">
        <v>2023</v>
      </c>
      <c r="K102" s="72" t="n">
        <v>63.8</v>
      </c>
      <c r="L102" s="49" t="n">
        <v>2014</v>
      </c>
      <c r="M102" s="54">
        <f>IF(K102="","Missing","Observed")</f>
        <v/>
      </c>
      <c r="N102" s="71">
        <f>LN(C102)</f>
        <v/>
      </c>
      <c r="O102" s="49">
        <f>IF($H102=1,1,0)</f>
        <v/>
      </c>
      <c r="P102" s="49">
        <f>IF($H102=2,1,0)</f>
        <v/>
      </c>
      <c r="Q102" s="49">
        <f>IF($H102=3,1,0)</f>
        <v/>
      </c>
      <c r="R102" s="49">
        <f>IF($L102="","",$L102-2018)</f>
        <v/>
      </c>
      <c r="S102" s="49" t="str"/>
    </row>
    <row r="103">
      <c r="A103" s="49" t="inlineStr">
        <is>
          <t>MEX</t>
        </is>
      </c>
      <c r="B103" s="49" t="inlineStr">
        <is>
          <t>Mexico</t>
        </is>
      </c>
      <c r="C103" s="69" t="n">
        <v>42</v>
      </c>
      <c r="D103" s="49" t="n">
        <v>2023</v>
      </c>
      <c r="E103" s="70" t="n">
        <v>21864.9236104145</v>
      </c>
      <c r="F103" s="49" t="n">
        <v>2023</v>
      </c>
      <c r="G103" s="71">
        <f>LN(E103)</f>
        <v/>
      </c>
      <c r="H103" s="49" t="n">
        <v>2</v>
      </c>
      <c r="I103" s="49" t="inlineStr">
        <is>
          <t>Electoral democracy</t>
        </is>
      </c>
      <c r="J103" s="49" t="n">
        <v>2023</v>
      </c>
      <c r="K103" s="72" t="n">
        <v>71.8482508570646</v>
      </c>
      <c r="L103" s="49" t="n">
        <v>2023</v>
      </c>
      <c r="M103" s="54">
        <f>IF(K103="","Missing","Observed")</f>
        <v/>
      </c>
      <c r="N103" s="71">
        <f>LN(C103)</f>
        <v/>
      </c>
      <c r="O103" s="49">
        <f>IF($H103=1,1,0)</f>
        <v/>
      </c>
      <c r="P103" s="49">
        <f>IF($H103=2,1,0)</f>
        <v/>
      </c>
      <c r="Q103" s="49">
        <f>IF($H103=3,1,0)</f>
        <v/>
      </c>
      <c r="R103" s="49">
        <f>IF($L103="","",$L103-2018)</f>
        <v/>
      </c>
      <c r="S103" s="49" t="str"/>
    </row>
    <row r="104">
      <c r="A104" s="49" t="inlineStr">
        <is>
          <t>MDA</t>
        </is>
      </c>
      <c r="B104" s="49" t="inlineStr">
        <is>
          <t>Moldova</t>
        </is>
      </c>
      <c r="C104" s="69" t="n">
        <v>19</v>
      </c>
      <c r="D104" s="49" t="n">
        <v>2023</v>
      </c>
      <c r="E104" s="70" t="n">
        <v>15980.5668889856</v>
      </c>
      <c r="F104" s="49" t="n">
        <v>2023</v>
      </c>
      <c r="G104" s="71">
        <f>LN(E104)</f>
        <v/>
      </c>
      <c r="H104" s="49" t="n">
        <v>2</v>
      </c>
      <c r="I104" s="49" t="inlineStr">
        <is>
          <t>Electoral democracy</t>
        </is>
      </c>
      <c r="J104" s="49" t="n">
        <v>2023</v>
      </c>
      <c r="K104" s="72" t="n">
        <v>56</v>
      </c>
      <c r="L104" s="49" t="n">
        <v>2020</v>
      </c>
      <c r="M104" s="54">
        <f>IF(K104="","Missing","Observed")</f>
        <v/>
      </c>
      <c r="N104" s="71">
        <f>LN(C104)</f>
        <v/>
      </c>
      <c r="O104" s="49">
        <f>IF($H104=1,1,0)</f>
        <v/>
      </c>
      <c r="P104" s="49">
        <f>IF($H104=2,1,0)</f>
        <v/>
      </c>
      <c r="Q104" s="49">
        <f>IF($H104=3,1,0)</f>
        <v/>
      </c>
      <c r="R104" s="49">
        <f>IF($L104="","",$L104-2018)</f>
        <v/>
      </c>
      <c r="S104" s="49" t="str"/>
    </row>
    <row r="105">
      <c r="A105" s="49" t="inlineStr">
        <is>
          <t>MNG</t>
        </is>
      </c>
      <c r="B105" s="49" t="inlineStr">
        <is>
          <t>Mongolia</t>
        </is>
      </c>
      <c r="C105" s="69" t="n">
        <v>41</v>
      </c>
      <c r="D105" s="49" t="n">
        <v>2023</v>
      </c>
      <c r="E105" s="70" t="n">
        <v>16222.8638898529</v>
      </c>
      <c r="F105" s="49" t="n">
        <v>2023</v>
      </c>
      <c r="G105" s="71">
        <f>LN(E105)</f>
        <v/>
      </c>
      <c r="H105" s="49" t="n">
        <v>2</v>
      </c>
      <c r="I105" s="49" t="inlineStr">
        <is>
          <t>Electoral democracy</t>
        </is>
      </c>
      <c r="J105" s="49" t="n">
        <v>2023</v>
      </c>
      <c r="K105" s="72" t="n">
        <v>48.1348813</v>
      </c>
      <c r="L105" s="49" t="n">
        <v>2018</v>
      </c>
      <c r="M105" s="54">
        <f>IF(K105="","Missing","Observed")</f>
        <v/>
      </c>
      <c r="N105" s="71">
        <f>LN(C105)</f>
        <v/>
      </c>
      <c r="O105" s="49">
        <f>IF($H105=1,1,0)</f>
        <v/>
      </c>
      <c r="P105" s="49">
        <f>IF($H105=2,1,0)</f>
        <v/>
      </c>
      <c r="Q105" s="49">
        <f>IF($H105=3,1,0)</f>
        <v/>
      </c>
      <c r="R105" s="49">
        <f>IF($L105="","",$L105-2018)</f>
        <v/>
      </c>
      <c r="S105" s="49" t="str"/>
    </row>
    <row r="106">
      <c r="A106" s="49" t="inlineStr">
        <is>
          <t>MNE</t>
        </is>
      </c>
      <c r="B106" s="49" t="inlineStr">
        <is>
          <t>Montenegro</t>
        </is>
      </c>
      <c r="C106" s="69" t="n">
        <v>6</v>
      </c>
      <c r="D106" s="49" t="n">
        <v>2023</v>
      </c>
      <c r="E106" s="70" t="n">
        <v>27243.404228981</v>
      </c>
      <c r="F106" s="49" t="n">
        <v>2023</v>
      </c>
      <c r="G106" s="71">
        <f>LN(E106)</f>
        <v/>
      </c>
      <c r="H106" s="49" t="n">
        <v>2</v>
      </c>
      <c r="I106" s="49" t="inlineStr">
        <is>
          <t>Electoral democracy</t>
        </is>
      </c>
      <c r="J106" s="49" t="n">
        <v>2023</v>
      </c>
      <c r="K106" s="72" t="n">
        <v>20.7</v>
      </c>
      <c r="L106" s="49" t="n">
        <v>2018</v>
      </c>
      <c r="M106" s="54">
        <f>IF(K106="","Missing","Observed")</f>
        <v/>
      </c>
      <c r="N106" s="71">
        <f>LN(C106)</f>
        <v/>
      </c>
      <c r="O106" s="49">
        <f>IF($H106=1,1,0)</f>
        <v/>
      </c>
      <c r="P106" s="49">
        <f>IF($H106=2,1,0)</f>
        <v/>
      </c>
      <c r="Q106" s="49">
        <f>IF($H106=3,1,0)</f>
        <v/>
      </c>
      <c r="R106" s="49">
        <f>IF($L106="","",$L106-2018)</f>
        <v/>
      </c>
      <c r="S106" s="49" t="str"/>
    </row>
    <row r="107">
      <c r="A107" s="49" t="inlineStr">
        <is>
          <t>MAR</t>
        </is>
      </c>
      <c r="B107" s="49" t="inlineStr">
        <is>
          <t>Morocco</t>
        </is>
      </c>
      <c r="C107" s="69" t="n">
        <v>70</v>
      </c>
      <c r="D107" s="49" t="n">
        <v>2023</v>
      </c>
      <c r="E107" s="70" t="n">
        <v>8915.3515625</v>
      </c>
      <c r="F107" s="49" t="n">
        <v>2023</v>
      </c>
      <c r="G107" s="71">
        <f>LN(E107)</f>
        <v/>
      </c>
      <c r="H107" s="49" t="n">
        <v>0</v>
      </c>
      <c r="I107" s="49" t="inlineStr">
        <is>
          <t>Closed autocracy</t>
        </is>
      </c>
      <c r="J107" s="49" t="n">
        <v>2023</v>
      </c>
      <c r="K107" s="72" t="n">
        <v>70.8</v>
      </c>
      <c r="L107" s="49" t="n">
        <v>2018</v>
      </c>
      <c r="M107" s="54">
        <f>IF(K107="","Missing","Observed")</f>
        <v/>
      </c>
      <c r="N107" s="71">
        <f>LN(C107)</f>
        <v/>
      </c>
      <c r="O107" s="49">
        <f>IF($H107=1,1,0)</f>
        <v/>
      </c>
      <c r="P107" s="49">
        <f>IF($H107=2,1,0)</f>
        <v/>
      </c>
      <c r="Q107" s="49">
        <f>IF($H107=3,1,0)</f>
        <v/>
      </c>
      <c r="R107" s="49">
        <f>IF($L107="","",$L107-2018)</f>
        <v/>
      </c>
      <c r="S107" s="49" t="str"/>
    </row>
    <row r="108">
      <c r="A108" s="49" t="inlineStr">
        <is>
          <t>MOZ</t>
        </is>
      </c>
      <c r="B108" s="49" t="inlineStr">
        <is>
          <t>Mozambique</t>
        </is>
      </c>
      <c r="C108" s="69" t="n">
        <v>99</v>
      </c>
      <c r="D108" s="49" t="n">
        <v>2023</v>
      </c>
      <c r="E108" s="70" t="n">
        <v>1512.66729609671</v>
      </c>
      <c r="F108" s="49" t="n">
        <v>2023</v>
      </c>
      <c r="G108" s="71">
        <f>LN(E108)</f>
        <v/>
      </c>
      <c r="H108" s="49" t="n">
        <v>1</v>
      </c>
      <c r="I108" s="49" t="inlineStr">
        <is>
          <t>Electoral autocracy</t>
        </is>
      </c>
      <c r="J108" s="49" t="n">
        <v>2023</v>
      </c>
      <c r="K108" s="72" t="n">
        <v>26.4</v>
      </c>
      <c r="L108" s="49" t="n">
        <v>2023</v>
      </c>
      <c r="M108" s="54">
        <f>IF(K108="","Missing","Observed")</f>
        <v/>
      </c>
      <c r="N108" s="71">
        <f>LN(C108)</f>
        <v/>
      </c>
      <c r="O108" s="49">
        <f>IF($H108=1,1,0)</f>
        <v/>
      </c>
      <c r="P108" s="49">
        <f>IF($H108=2,1,0)</f>
        <v/>
      </c>
      <c r="Q108" s="49">
        <f>IF($H108=3,1,0)</f>
        <v/>
      </c>
      <c r="R108" s="49">
        <f>IF($L108="","",$L108-2018)</f>
        <v/>
      </c>
      <c r="S108" s="49" t="str"/>
    </row>
    <row r="109">
      <c r="A109" s="49" t="inlineStr">
        <is>
          <t>MMR</t>
        </is>
      </c>
      <c r="B109" s="49" t="inlineStr">
        <is>
          <t>Myanmar</t>
        </is>
      </c>
      <c r="C109" s="69" t="n">
        <v>185</v>
      </c>
      <c r="D109" s="49" t="n">
        <v>2023</v>
      </c>
      <c r="E109" s="70" t="n">
        <v>5364.13797034429</v>
      </c>
      <c r="F109" s="49" t="n">
        <v>2023</v>
      </c>
      <c r="G109" s="71">
        <f>LN(E109)</f>
        <v/>
      </c>
      <c r="H109" s="49" t="n">
        <v>0</v>
      </c>
      <c r="I109" s="49" t="inlineStr">
        <is>
          <t>Closed autocracy</t>
        </is>
      </c>
      <c r="J109" s="49" t="n">
        <v>2023</v>
      </c>
      <c r="K109" s="72" t="n">
        <v>52.2</v>
      </c>
      <c r="L109" s="49" t="n">
        <v>2016</v>
      </c>
      <c r="M109" s="54">
        <f>IF(K109="","Missing","Observed")</f>
        <v/>
      </c>
      <c r="N109" s="71">
        <f>LN(C109)</f>
        <v/>
      </c>
      <c r="O109" s="49">
        <f>IF($H109=1,1,0)</f>
        <v/>
      </c>
      <c r="P109" s="49">
        <f>IF($H109=2,1,0)</f>
        <v/>
      </c>
      <c r="Q109" s="49">
        <f>IF($H109=3,1,0)</f>
        <v/>
      </c>
      <c r="R109" s="49">
        <f>IF($L109="","",$L109-2018)</f>
        <v/>
      </c>
      <c r="S109" s="49" t="str"/>
    </row>
    <row r="110">
      <c r="A110" s="49" t="inlineStr">
        <is>
          <t>NAM</t>
        </is>
      </c>
      <c r="B110" s="49" t="inlineStr">
        <is>
          <t>Namibia</t>
        </is>
      </c>
      <c r="C110" s="69" t="n">
        <v>139</v>
      </c>
      <c r="D110" s="49" t="n">
        <v>2023</v>
      </c>
      <c r="E110" s="70" t="n">
        <v>10126.2359555611</v>
      </c>
      <c r="F110" s="49" t="n">
        <v>2023</v>
      </c>
      <c r="G110" s="71">
        <f>LN(E110)</f>
        <v/>
      </c>
      <c r="H110" s="49" t="n">
        <v>2</v>
      </c>
      <c r="I110" s="49" t="inlineStr">
        <is>
          <t>Electoral democracy</t>
        </is>
      </c>
      <c r="J110" s="49" t="n">
        <v>2023</v>
      </c>
      <c r="K110" s="72" t="n">
        <v>56.1</v>
      </c>
      <c r="L110" s="49" t="n">
        <v>2013</v>
      </c>
      <c r="M110" s="54">
        <f>IF(K110="","Missing","Observed")</f>
        <v/>
      </c>
      <c r="N110" s="71">
        <f>LN(C110)</f>
        <v/>
      </c>
      <c r="O110" s="49">
        <f>IF($H110=1,1,0)</f>
        <v/>
      </c>
      <c r="P110" s="49">
        <f>IF($H110=2,1,0)</f>
        <v/>
      </c>
      <c r="Q110" s="49">
        <f>IF($H110=3,1,0)</f>
        <v/>
      </c>
      <c r="R110" s="49">
        <f>IF($L110="","",$L110-2018)</f>
        <v/>
      </c>
      <c r="S110" s="49" t="str"/>
    </row>
    <row r="111">
      <c r="A111" s="49" t="inlineStr">
        <is>
          <t>NPL</t>
        </is>
      </c>
      <c r="B111" s="49" t="inlineStr">
        <is>
          <t>Nepal</t>
        </is>
      </c>
      <c r="C111" s="69" t="n">
        <v>142</v>
      </c>
      <c r="D111" s="49" t="n">
        <v>2023</v>
      </c>
      <c r="E111" s="70" t="n">
        <v>4861.230303797</v>
      </c>
      <c r="F111" s="49" t="n">
        <v>2023</v>
      </c>
      <c r="G111" s="71">
        <f>LN(E111)</f>
        <v/>
      </c>
      <c r="H111" s="49" t="n">
        <v>2</v>
      </c>
      <c r="I111" s="49" t="inlineStr">
        <is>
          <t>Electoral democracy</t>
        </is>
      </c>
      <c r="J111" s="49" t="n">
        <v>2023</v>
      </c>
      <c r="K111" s="72" t="n">
        <v>57.2</v>
      </c>
      <c r="L111" s="49" t="n">
        <v>2022</v>
      </c>
      <c r="M111" s="54">
        <f>IF(K111="","Missing","Observed")</f>
        <v/>
      </c>
      <c r="N111" s="71">
        <f>LN(C111)</f>
        <v/>
      </c>
      <c r="O111" s="49">
        <f>IF($H111=1,1,0)</f>
        <v/>
      </c>
      <c r="P111" s="49">
        <f>IF($H111=2,1,0)</f>
        <v/>
      </c>
      <c r="Q111" s="49">
        <f>IF($H111=3,1,0)</f>
        <v/>
      </c>
      <c r="R111" s="49">
        <f>IF($L111="","",$L111-2018)</f>
        <v/>
      </c>
      <c r="S111" s="49" t="str"/>
    </row>
    <row r="112">
      <c r="A112" s="49" t="inlineStr">
        <is>
          <t>NLD</t>
        </is>
      </c>
      <c r="B112" s="49" t="inlineStr">
        <is>
          <t>Netherlands</t>
        </is>
      </c>
      <c r="C112" s="69" t="n">
        <v>4</v>
      </c>
      <c r="D112" s="49" t="n">
        <v>2023</v>
      </c>
      <c r="E112" s="70" t="n">
        <v>70198.9546022361</v>
      </c>
      <c r="F112" s="49" t="n">
        <v>2023</v>
      </c>
      <c r="G112" s="71">
        <f>LN(E112)</f>
        <v/>
      </c>
      <c r="H112" s="49" t="n">
        <v>3</v>
      </c>
      <c r="I112" s="49" t="inlineStr">
        <is>
          <t>Liberal democracy</t>
        </is>
      </c>
      <c r="J112" s="49" t="n">
        <v>2023</v>
      </c>
      <c r="K112" s="72" t="n">
        <v>73</v>
      </c>
      <c r="L112" s="49" t="n">
        <v>2013</v>
      </c>
      <c r="M112" s="54">
        <f>IF(K112="","Missing","Observed")</f>
        <v/>
      </c>
      <c r="N112" s="71">
        <f>LN(C112)</f>
        <v/>
      </c>
      <c r="O112" s="49">
        <f>IF($H112=1,1,0)</f>
        <v/>
      </c>
      <c r="P112" s="49">
        <f>IF($H112=2,1,0)</f>
        <v/>
      </c>
      <c r="Q112" s="49">
        <f>IF($H112=3,1,0)</f>
        <v/>
      </c>
      <c r="R112" s="49">
        <f>IF($L112="","",$L112-2018)</f>
        <v/>
      </c>
      <c r="S112" s="49" t="str"/>
    </row>
    <row r="113">
      <c r="A113" s="49" t="inlineStr">
        <is>
          <t>NZL</t>
        </is>
      </c>
      <c r="B113" s="49" t="inlineStr">
        <is>
          <t>New Zealand</t>
        </is>
      </c>
      <c r="C113" s="69" t="n">
        <v>7</v>
      </c>
      <c r="D113" s="49" t="n">
        <v>2023</v>
      </c>
      <c r="E113" s="70" t="n">
        <v>49592.5875512098</v>
      </c>
      <c r="F113" s="49" t="n">
        <v>2023</v>
      </c>
      <c r="G113" s="71">
        <f>LN(E113)</f>
        <v/>
      </c>
      <c r="H113" s="49" t="n">
        <v>3</v>
      </c>
      <c r="I113" s="49" t="inlineStr">
        <is>
          <t>Liberal democracy</t>
        </is>
      </c>
      <c r="J113" s="49" t="n">
        <v>2023</v>
      </c>
      <c r="K113" s="72" t="n"/>
      <c r="L113" s="49" t="n"/>
      <c r="M113" s="54">
        <f>IF(K113="","Missing","Observed")</f>
        <v/>
      </c>
      <c r="N113" s="71">
        <f>LN(C113)</f>
        <v/>
      </c>
      <c r="O113" s="49">
        <f>IF($H113=1,1,0)</f>
        <v/>
      </c>
      <c r="P113" s="49">
        <f>IF($H113=2,1,0)</f>
        <v/>
      </c>
      <c r="Q113" s="49">
        <f>IF($H113=3,1,0)</f>
        <v/>
      </c>
      <c r="R113" s="49">
        <f>IF($L113="","",$L113-2018)</f>
        <v/>
      </c>
      <c r="S113" s="49" t="str"/>
    </row>
    <row r="114">
      <c r="A114" s="49" t="inlineStr">
        <is>
          <t>NIC</t>
        </is>
      </c>
      <c r="B114" s="49" t="inlineStr">
        <is>
          <t>Nicaragua</t>
        </is>
      </c>
      <c r="C114" s="69" t="n">
        <v>60</v>
      </c>
      <c r="D114" s="49" t="n">
        <v>2023</v>
      </c>
      <c r="E114" s="70" t="n">
        <v>7496.53056557505</v>
      </c>
      <c r="F114" s="49" t="n">
        <v>2023</v>
      </c>
      <c r="G114" s="71">
        <f>LN(E114)</f>
        <v/>
      </c>
      <c r="H114" s="49" t="n">
        <v>1</v>
      </c>
      <c r="I114" s="49" t="inlineStr">
        <is>
          <t>Electoral autocracy</t>
        </is>
      </c>
      <c r="J114" s="49" t="n">
        <v>2023</v>
      </c>
      <c r="K114" s="72" t="n">
        <v>80.40000000000001</v>
      </c>
      <c r="L114" s="49" t="n">
        <v>2012</v>
      </c>
      <c r="M114" s="54">
        <f>IF(K114="","Missing","Observed")</f>
        <v/>
      </c>
      <c r="N114" s="71">
        <f>LN(C114)</f>
        <v/>
      </c>
      <c r="O114" s="49">
        <f>IF($H114=1,1,0)</f>
        <v/>
      </c>
      <c r="P114" s="49">
        <f>IF($H114=2,1,0)</f>
        <v/>
      </c>
      <c r="Q114" s="49">
        <f>IF($H114=3,1,0)</f>
        <v/>
      </c>
      <c r="R114" s="49">
        <f>IF($L114="","",$L114-2018)</f>
        <v/>
      </c>
      <c r="S114" s="49" t="str"/>
    </row>
    <row r="115">
      <c r="A115" s="49" t="inlineStr">
        <is>
          <t>NER</t>
        </is>
      </c>
      <c r="B115" s="49" t="inlineStr">
        <is>
          <t>Niger</t>
        </is>
      </c>
      <c r="C115" s="69" t="n">
        <v>350</v>
      </c>
      <c r="D115" s="49" t="n">
        <v>2023</v>
      </c>
      <c r="E115" s="70" t="n">
        <v>1712.97031726521</v>
      </c>
      <c r="F115" s="49" t="n">
        <v>2023</v>
      </c>
      <c r="G115" s="71">
        <f>LN(E115)</f>
        <v/>
      </c>
      <c r="H115" s="49" t="n">
        <v>0</v>
      </c>
      <c r="I115" s="49" t="inlineStr">
        <is>
          <t>Closed autocracy</t>
        </is>
      </c>
      <c r="J115" s="49" t="n">
        <v>2023</v>
      </c>
      <c r="K115" s="72" t="n">
        <v>15.2564802562511</v>
      </c>
      <c r="L115" s="49" t="n">
        <v>2023</v>
      </c>
      <c r="M115" s="54">
        <f>IF(K115="","Missing","Observed")</f>
        <v/>
      </c>
      <c r="N115" s="71">
        <f>LN(C115)</f>
        <v/>
      </c>
      <c r="O115" s="49">
        <f>IF($H115=1,1,0)</f>
        <v/>
      </c>
      <c r="P115" s="49">
        <f>IF($H115=2,1,0)</f>
        <v/>
      </c>
      <c r="Q115" s="49">
        <f>IF($H115=3,1,0)</f>
        <v/>
      </c>
      <c r="R115" s="49">
        <f>IF($L115="","",$L115-2018)</f>
        <v/>
      </c>
      <c r="S115" s="49" t="str"/>
    </row>
    <row r="116">
      <c r="A116" s="49" t="inlineStr">
        <is>
          <t>NGA</t>
        </is>
      </c>
      <c r="B116" s="49" t="inlineStr">
        <is>
          <t>Nigeria</t>
        </is>
      </c>
      <c r="C116" s="69" t="n">
        <v>993</v>
      </c>
      <c r="D116" s="49" t="n">
        <v>2023</v>
      </c>
      <c r="E116" s="70" t="n">
        <v>7843.00399007675</v>
      </c>
      <c r="F116" s="49" t="n">
        <v>2023</v>
      </c>
      <c r="G116" s="71">
        <f>LN(E116)</f>
        <v/>
      </c>
      <c r="H116" s="49" t="n">
        <v>1</v>
      </c>
      <c r="I116" s="49" t="inlineStr">
        <is>
          <t>Electoral autocracy</t>
        </is>
      </c>
      <c r="J116" s="49" t="n">
        <v>2023</v>
      </c>
      <c r="K116" s="72" t="n">
        <v>21.6</v>
      </c>
      <c r="L116" s="49" t="n">
        <v>2021</v>
      </c>
      <c r="M116" s="54">
        <f>IF(K116="","Missing","Observed")</f>
        <v/>
      </c>
      <c r="N116" s="71">
        <f>LN(C116)</f>
        <v/>
      </c>
      <c r="O116" s="49">
        <f>IF($H116=1,1,0)</f>
        <v/>
      </c>
      <c r="P116" s="49">
        <f>IF($H116=2,1,0)</f>
        <v/>
      </c>
      <c r="Q116" s="49">
        <f>IF($H116=3,1,0)</f>
        <v/>
      </c>
      <c r="R116" s="49">
        <f>IF($L116="","",$L116-2018)</f>
        <v/>
      </c>
      <c r="S116" s="49" t="str"/>
    </row>
    <row r="117">
      <c r="A117" s="49" t="inlineStr">
        <is>
          <t>MKD</t>
        </is>
      </c>
      <c r="B117" s="49" t="inlineStr">
        <is>
          <t>North Macedonia</t>
        </is>
      </c>
      <c r="C117" s="69" t="n">
        <v>3</v>
      </c>
      <c r="D117" s="49" t="n">
        <v>2023</v>
      </c>
      <c r="E117" s="70" t="n">
        <v>23455.2221318176</v>
      </c>
      <c r="F117" s="49" t="n">
        <v>2023</v>
      </c>
      <c r="G117" s="71">
        <f>LN(E117)</f>
        <v/>
      </c>
      <c r="H117" s="49" t="n">
        <v>2</v>
      </c>
      <c r="I117" s="49" t="inlineStr">
        <is>
          <t>Electoral democracy</t>
        </is>
      </c>
      <c r="J117" s="49" t="n">
        <v>2023</v>
      </c>
      <c r="K117" s="72" t="n">
        <v>59.8676426711758</v>
      </c>
      <c r="L117" s="49" t="n">
        <v>2019</v>
      </c>
      <c r="M117" s="54">
        <f>IF(K117="","Missing","Observed")</f>
        <v/>
      </c>
      <c r="N117" s="71">
        <f>LN(C117)</f>
        <v/>
      </c>
      <c r="O117" s="49">
        <f>IF($H117=1,1,0)</f>
        <v/>
      </c>
      <c r="P117" s="49">
        <f>IF($H117=2,1,0)</f>
        <v/>
      </c>
      <c r="Q117" s="49">
        <f>IF($H117=3,1,0)</f>
        <v/>
      </c>
      <c r="R117" s="49">
        <f>IF($L117="","",$L117-2018)</f>
        <v/>
      </c>
      <c r="S117" s="49" t="str"/>
    </row>
    <row r="118">
      <c r="A118" s="49" t="inlineStr">
        <is>
          <t>NOR</t>
        </is>
      </c>
      <c r="B118" s="49" t="inlineStr">
        <is>
          <t>Norway</t>
        </is>
      </c>
      <c r="C118" s="69" t="n">
        <v>1</v>
      </c>
      <c r="D118" s="49" t="n">
        <v>2023</v>
      </c>
      <c r="E118" s="70" t="n">
        <v>94364.9641754336</v>
      </c>
      <c r="F118" s="49" t="n">
        <v>2023</v>
      </c>
      <c r="G118" s="71">
        <f>LN(E118)</f>
        <v/>
      </c>
      <c r="H118" s="49" t="n">
        <v>3</v>
      </c>
      <c r="I118" s="49" t="inlineStr">
        <is>
          <t>Liberal democracy</t>
        </is>
      </c>
      <c r="J118" s="49" t="n">
        <v>2023</v>
      </c>
      <c r="K118" s="72" t="n"/>
      <c r="L118" s="49" t="n"/>
      <c r="M118" s="54">
        <f>IF(K118="","Missing","Observed")</f>
        <v/>
      </c>
      <c r="N118" s="71">
        <f>LN(C118)</f>
        <v/>
      </c>
      <c r="O118" s="49">
        <f>IF($H118=1,1,0)</f>
        <v/>
      </c>
      <c r="P118" s="49">
        <f>IF($H118=2,1,0)</f>
        <v/>
      </c>
      <c r="Q118" s="49">
        <f>IF($H118=3,1,0)</f>
        <v/>
      </c>
      <c r="R118" s="49">
        <f>IF($L118="","",$L118-2018)</f>
        <v/>
      </c>
      <c r="S118" s="49" t="str"/>
    </row>
    <row r="119">
      <c r="A119" s="49" t="inlineStr">
        <is>
          <t>OMN</t>
        </is>
      </c>
      <c r="B119" s="49" t="inlineStr">
        <is>
          <t>Oman</t>
        </is>
      </c>
      <c r="C119" s="69" t="n">
        <v>13</v>
      </c>
      <c r="D119" s="49" t="n">
        <v>2023</v>
      </c>
      <c r="E119" s="70" t="n">
        <v>37793.6163957515</v>
      </c>
      <c r="F119" s="49" t="n">
        <v>2023</v>
      </c>
      <c r="G119" s="71">
        <f>LN(E119)</f>
        <v/>
      </c>
      <c r="H119" s="49" t="n">
        <v>0</v>
      </c>
      <c r="I119" s="49" t="inlineStr">
        <is>
          <t>Closed autocracy</t>
        </is>
      </c>
      <c r="J119" s="49" t="n">
        <v>2023</v>
      </c>
      <c r="K119" s="72" t="n">
        <v>29.7</v>
      </c>
      <c r="L119" s="49" t="n">
        <v>2014</v>
      </c>
      <c r="M119" s="54">
        <f>IF(K119="","Missing","Observed")</f>
        <v/>
      </c>
      <c r="N119" s="71">
        <f>LN(C119)</f>
        <v/>
      </c>
      <c r="O119" s="49">
        <f>IF($H119=1,1,0)</f>
        <v/>
      </c>
      <c r="P119" s="49">
        <f>IF($H119=2,1,0)</f>
        <v/>
      </c>
      <c r="Q119" s="49">
        <f>IF($H119=3,1,0)</f>
        <v/>
      </c>
      <c r="R119" s="49">
        <f>IF($L119="","",$L119-2018)</f>
        <v/>
      </c>
      <c r="S119" s="49" t="str"/>
    </row>
    <row r="120">
      <c r="A120" s="49" t="inlineStr">
        <is>
          <t>PAK</t>
        </is>
      </c>
      <c r="B120" s="49" t="inlineStr">
        <is>
          <t>Pakistan</t>
        </is>
      </c>
      <c r="C120" s="69" t="n">
        <v>155</v>
      </c>
      <c r="D120" s="49" t="n">
        <v>2023</v>
      </c>
      <c r="E120" s="70" t="n">
        <v>5418.7693189297</v>
      </c>
      <c r="F120" s="49" t="n">
        <v>2023</v>
      </c>
      <c r="G120" s="71">
        <f>LN(E120)</f>
        <v/>
      </c>
      <c r="H120" s="49" t="n">
        <v>1</v>
      </c>
      <c r="I120" s="49" t="inlineStr">
        <is>
          <t>Electoral autocracy</t>
        </is>
      </c>
      <c r="J120" s="49" t="n">
        <v>2023</v>
      </c>
      <c r="K120" s="72" t="n">
        <v>34</v>
      </c>
      <c r="L120" s="49" t="n">
        <v>2019</v>
      </c>
      <c r="M120" s="54">
        <f>IF(K120="","Missing","Observed")</f>
        <v/>
      </c>
      <c r="N120" s="71">
        <f>LN(C120)</f>
        <v/>
      </c>
      <c r="O120" s="49">
        <f>IF($H120=1,1,0)</f>
        <v/>
      </c>
      <c r="P120" s="49">
        <f>IF($H120=2,1,0)</f>
        <v/>
      </c>
      <c r="Q120" s="49">
        <f>IF($H120=3,1,0)</f>
        <v/>
      </c>
      <c r="R120" s="49">
        <f>IF($L120="","",$L120-2018)</f>
        <v/>
      </c>
      <c r="S120" s="49" t="str"/>
    </row>
    <row r="121">
      <c r="A121" s="49" t="inlineStr">
        <is>
          <t>PAN</t>
        </is>
      </c>
      <c r="B121" s="49" t="inlineStr">
        <is>
          <t>Panama</t>
        </is>
      </c>
      <c r="C121" s="69" t="n">
        <v>37</v>
      </c>
      <c r="D121" s="49" t="n">
        <v>2023</v>
      </c>
      <c r="E121" s="70" t="n">
        <v>35872.9719200069</v>
      </c>
      <c r="F121" s="49" t="n">
        <v>2023</v>
      </c>
      <c r="G121" s="71">
        <f>LN(E121)</f>
        <v/>
      </c>
      <c r="H121" s="49" t="n">
        <v>2</v>
      </c>
      <c r="I121" s="49" t="inlineStr">
        <is>
          <t>Electoral democracy</t>
        </is>
      </c>
      <c r="J121" s="49" t="n">
        <v>2023</v>
      </c>
      <c r="K121" s="72" t="n">
        <v>50.8</v>
      </c>
      <c r="L121" s="49" t="n">
        <v>2015</v>
      </c>
      <c r="M121" s="54">
        <f>IF(K121="","Missing","Observed")</f>
        <v/>
      </c>
      <c r="N121" s="71">
        <f>LN(C121)</f>
        <v/>
      </c>
      <c r="O121" s="49">
        <f>IF($H121=1,1,0)</f>
        <v/>
      </c>
      <c r="P121" s="49">
        <f>IF($H121=2,1,0)</f>
        <v/>
      </c>
      <c r="Q121" s="49">
        <f>IF($H121=3,1,0)</f>
        <v/>
      </c>
      <c r="R121" s="49">
        <f>IF($L121="","",$L121-2018)</f>
        <v/>
      </c>
      <c r="S121" s="49" t="str"/>
    </row>
    <row r="122">
      <c r="A122" s="49" t="inlineStr">
        <is>
          <t>PNG</t>
        </is>
      </c>
      <c r="B122" s="49" t="inlineStr">
        <is>
          <t>Papua New Guinea</t>
        </is>
      </c>
      <c r="C122" s="69" t="n">
        <v>189</v>
      </c>
      <c r="D122" s="49" t="n">
        <v>2023</v>
      </c>
      <c r="E122" s="70" t="n">
        <v>4206.37834691367</v>
      </c>
      <c r="F122" s="49" t="n">
        <v>2023</v>
      </c>
      <c r="G122" s="71">
        <f>LN(E122)</f>
        <v/>
      </c>
      <c r="H122" s="49" t="n">
        <v>1</v>
      </c>
      <c r="I122" s="49" t="inlineStr">
        <is>
          <t>Electoral autocracy</t>
        </is>
      </c>
      <c r="J122" s="49" t="n">
        <v>2023</v>
      </c>
      <c r="K122" s="72" t="n">
        <v>36.7</v>
      </c>
      <c r="L122" s="49" t="n">
        <v>2018</v>
      </c>
      <c r="M122" s="54">
        <f>IF(K122="","Missing","Observed")</f>
        <v/>
      </c>
      <c r="N122" s="71">
        <f>LN(C122)</f>
        <v/>
      </c>
      <c r="O122" s="49">
        <f>IF($H122=1,1,0)</f>
        <v/>
      </c>
      <c r="P122" s="49">
        <f>IF($H122=2,1,0)</f>
        <v/>
      </c>
      <c r="Q122" s="49">
        <f>IF($H122=3,1,0)</f>
        <v/>
      </c>
      <c r="R122" s="49">
        <f>IF($L122="","",$L122-2018)</f>
        <v/>
      </c>
      <c r="S122" s="49" t="str"/>
    </row>
    <row r="123">
      <c r="A123" s="49" t="inlineStr">
        <is>
          <t>PRY</t>
        </is>
      </c>
      <c r="B123" s="49" t="inlineStr">
        <is>
          <t>Paraguay</t>
        </is>
      </c>
      <c r="C123" s="69" t="n">
        <v>58</v>
      </c>
      <c r="D123" s="49" t="n">
        <v>2023</v>
      </c>
      <c r="E123" s="70" t="n">
        <v>15831.5849831308</v>
      </c>
      <c r="F123" s="49" t="n">
        <v>2023</v>
      </c>
      <c r="G123" s="71">
        <f>LN(E123)</f>
        <v/>
      </c>
      <c r="H123" s="49" t="n">
        <v>2</v>
      </c>
      <c r="I123" s="49" t="inlineStr">
        <is>
          <t>Electoral democracy</t>
        </is>
      </c>
      <c r="J123" s="49" t="n">
        <v>2023</v>
      </c>
      <c r="K123" s="72" t="n">
        <v>68.35988695</v>
      </c>
      <c r="L123" s="49" t="n">
        <v>2016</v>
      </c>
      <c r="M123" s="54">
        <f>IF(K123="","Missing","Observed")</f>
        <v/>
      </c>
      <c r="N123" s="71">
        <f>LN(C123)</f>
        <v/>
      </c>
      <c r="O123" s="49">
        <f>IF($H123=1,1,0)</f>
        <v/>
      </c>
      <c r="P123" s="49">
        <f>IF($H123=2,1,0)</f>
        <v/>
      </c>
      <c r="Q123" s="49">
        <f>IF($H123=3,1,0)</f>
        <v/>
      </c>
      <c r="R123" s="49">
        <f>IF($L123="","",$L123-2018)</f>
        <v/>
      </c>
      <c r="S123" s="49" t="str"/>
    </row>
    <row r="124">
      <c r="A124" s="49" t="inlineStr">
        <is>
          <t>PER</t>
        </is>
      </c>
      <c r="B124" s="49" t="inlineStr">
        <is>
          <t>Peru</t>
        </is>
      </c>
      <c r="C124" s="69" t="n">
        <v>51</v>
      </c>
      <c r="D124" s="49" t="n">
        <v>2023</v>
      </c>
      <c r="E124" s="70" t="n">
        <v>15342.2741359642</v>
      </c>
      <c r="F124" s="49" t="n">
        <v>2023</v>
      </c>
      <c r="G124" s="71">
        <f>LN(E124)</f>
        <v/>
      </c>
      <c r="H124" s="49" t="n">
        <v>2</v>
      </c>
      <c r="I124" s="49" t="inlineStr">
        <is>
          <t>Electoral democracy</t>
        </is>
      </c>
      <c r="J124" s="49" t="n">
        <v>2023</v>
      </c>
      <c r="K124" s="72" t="n">
        <v>77.3</v>
      </c>
      <c r="L124" s="49" t="n">
        <v>2023</v>
      </c>
      <c r="M124" s="54">
        <f>IF(K124="","Missing","Observed")</f>
        <v/>
      </c>
      <c r="N124" s="71">
        <f>LN(C124)</f>
        <v/>
      </c>
      <c r="O124" s="49">
        <f>IF($H124=1,1,0)</f>
        <v/>
      </c>
      <c r="P124" s="49">
        <f>IF($H124=2,1,0)</f>
        <v/>
      </c>
      <c r="Q124" s="49">
        <f>IF($H124=3,1,0)</f>
        <v/>
      </c>
      <c r="R124" s="49">
        <f>IF($L124="","",$L124-2018)</f>
        <v/>
      </c>
      <c r="S124" s="49" t="str"/>
    </row>
    <row r="125">
      <c r="A125" s="49" t="inlineStr">
        <is>
          <t>PHL</t>
        </is>
      </c>
      <c r="B125" s="49" t="inlineStr">
        <is>
          <t>Philippines</t>
        </is>
      </c>
      <c r="C125" s="69" t="n">
        <v>84</v>
      </c>
      <c r="D125" s="49" t="n">
        <v>2023</v>
      </c>
      <c r="E125" s="70" t="n">
        <v>9898.532945881059</v>
      </c>
      <c r="F125" s="49" t="n">
        <v>2023</v>
      </c>
      <c r="G125" s="71">
        <f>LN(E125)</f>
        <v/>
      </c>
      <c r="H125" s="49" t="n">
        <v>1</v>
      </c>
      <c r="I125" s="49" t="inlineStr">
        <is>
          <t>Electoral autocracy</t>
        </is>
      </c>
      <c r="J125" s="49" t="n">
        <v>2023</v>
      </c>
      <c r="K125" s="72" t="n">
        <v>58.3</v>
      </c>
      <c r="L125" s="49" t="n">
        <v>2022</v>
      </c>
      <c r="M125" s="54">
        <f>IF(K125="","Missing","Observed")</f>
        <v/>
      </c>
      <c r="N125" s="71">
        <f>LN(C125)</f>
        <v/>
      </c>
      <c r="O125" s="49">
        <f>IF($H125=1,1,0)</f>
        <v/>
      </c>
      <c r="P125" s="49">
        <f>IF($H125=2,1,0)</f>
        <v/>
      </c>
      <c r="Q125" s="49">
        <f>IF($H125=3,1,0)</f>
        <v/>
      </c>
      <c r="R125" s="49">
        <f>IF($L125="","",$L125-2018)</f>
        <v/>
      </c>
      <c r="S125" s="49" t="str"/>
    </row>
    <row r="126">
      <c r="A126" s="49" t="inlineStr">
        <is>
          <t>POL</t>
        </is>
      </c>
      <c r="B126" s="49" t="inlineStr">
        <is>
          <t>Poland</t>
        </is>
      </c>
      <c r="C126" s="69" t="n">
        <v>2</v>
      </c>
      <c r="D126" s="49" t="n">
        <v>2023</v>
      </c>
      <c r="E126" s="70" t="n">
        <v>43672.7668014946</v>
      </c>
      <c r="F126" s="49" t="n">
        <v>2023</v>
      </c>
      <c r="G126" s="71">
        <f>LN(E126)</f>
        <v/>
      </c>
      <c r="H126" s="49" t="n">
        <v>2</v>
      </c>
      <c r="I126" s="49" t="inlineStr">
        <is>
          <t>Electoral democracy</t>
        </is>
      </c>
      <c r="J126" s="49" t="n">
        <v>2023</v>
      </c>
      <c r="K126" s="72" t="n">
        <v>63.2</v>
      </c>
      <c r="L126" s="49" t="n">
        <v>2014</v>
      </c>
      <c r="M126" s="54">
        <f>IF(K126="","Missing","Observed")</f>
        <v/>
      </c>
      <c r="N126" s="71">
        <f>LN(C126)</f>
        <v/>
      </c>
      <c r="O126" s="49">
        <f>IF($H126=1,1,0)</f>
        <v/>
      </c>
      <c r="P126" s="49">
        <f>IF($H126=2,1,0)</f>
        <v/>
      </c>
      <c r="Q126" s="49">
        <f>IF($H126=3,1,0)</f>
        <v/>
      </c>
      <c r="R126" s="49">
        <f>IF($L126="","",$L126-2018)</f>
        <v/>
      </c>
      <c r="S126" s="49" t="str"/>
    </row>
    <row r="127">
      <c r="A127" s="49" t="inlineStr">
        <is>
          <t>PRT</t>
        </is>
      </c>
      <c r="B127" s="49" t="inlineStr">
        <is>
          <t>Portugal</t>
        </is>
      </c>
      <c r="C127" s="69" t="n">
        <v>15</v>
      </c>
      <c r="D127" s="49" t="n">
        <v>2023</v>
      </c>
      <c r="E127" s="70" t="n">
        <v>41768.2583096874</v>
      </c>
      <c r="F127" s="49" t="n">
        <v>2023</v>
      </c>
      <c r="G127" s="71">
        <f>LN(E127)</f>
        <v/>
      </c>
      <c r="H127" s="49" t="n">
        <v>2</v>
      </c>
      <c r="I127" s="49" t="inlineStr">
        <is>
          <t>Electoral democracy</t>
        </is>
      </c>
      <c r="J127" s="49" t="n">
        <v>2023</v>
      </c>
      <c r="K127" s="72" t="n">
        <v>73.8869860463731</v>
      </c>
      <c r="L127" s="49" t="n">
        <v>2014</v>
      </c>
      <c r="M127" s="54">
        <f>IF(K127="","Missing","Observed")</f>
        <v/>
      </c>
      <c r="N127" s="71">
        <f>LN(C127)</f>
        <v/>
      </c>
      <c r="O127" s="49">
        <f>IF($H127=1,1,0)</f>
        <v/>
      </c>
      <c r="P127" s="49">
        <f>IF($H127=2,1,0)</f>
        <v/>
      </c>
      <c r="Q127" s="49">
        <f>IF($H127=3,1,0)</f>
        <v/>
      </c>
      <c r="R127" s="49">
        <f>IF($L127="","",$L127-2018)</f>
        <v/>
      </c>
      <c r="S127" s="49" t="str"/>
    </row>
    <row r="128">
      <c r="A128" s="49" t="inlineStr">
        <is>
          <t>QAT</t>
        </is>
      </c>
      <c r="B128" s="49" t="inlineStr">
        <is>
          <t>Qatar</t>
        </is>
      </c>
      <c r="C128" s="69" t="n">
        <v>4</v>
      </c>
      <c r="D128" s="49" t="n">
        <v>2023</v>
      </c>
      <c r="E128" s="70" t="n">
        <v>116159.142564088</v>
      </c>
      <c r="F128" s="49" t="n">
        <v>2023</v>
      </c>
      <c r="G128" s="71">
        <f>LN(E128)</f>
        <v/>
      </c>
      <c r="H128" s="49" t="n">
        <v>0</v>
      </c>
      <c r="I128" s="49" t="inlineStr">
        <is>
          <t>Closed autocracy</t>
        </is>
      </c>
      <c r="J128" s="49" t="n">
        <v>2023</v>
      </c>
      <c r="K128" s="72" t="n">
        <v>37.52185226</v>
      </c>
      <c r="L128" s="49" t="n">
        <v>2012</v>
      </c>
      <c r="M128" s="54">
        <f>IF(K128="","Missing","Observed")</f>
        <v/>
      </c>
      <c r="N128" s="71">
        <f>LN(C128)</f>
        <v/>
      </c>
      <c r="O128" s="49">
        <f>IF($H128=1,1,0)</f>
        <v/>
      </c>
      <c r="P128" s="49">
        <f>IF($H128=2,1,0)</f>
        <v/>
      </c>
      <c r="Q128" s="49">
        <f>IF($H128=3,1,0)</f>
        <v/>
      </c>
      <c r="R128" s="49">
        <f>IF($L128="","",$L128-2018)</f>
        <v/>
      </c>
      <c r="S128" s="49" t="str"/>
    </row>
    <row r="129">
      <c r="A129" s="49" t="inlineStr">
        <is>
          <t>ROU</t>
        </is>
      </c>
      <c r="B129" s="49" t="inlineStr">
        <is>
          <t>Romania</t>
        </is>
      </c>
      <c r="C129" s="69" t="n">
        <v>12</v>
      </c>
      <c r="D129" s="49" t="n">
        <v>2023</v>
      </c>
      <c r="E129" s="70" t="n">
        <v>40116.6891416904</v>
      </c>
      <c r="F129" s="49" t="n">
        <v>2023</v>
      </c>
      <c r="G129" s="71">
        <f>LN(E129)</f>
        <v/>
      </c>
      <c r="H129" s="49" t="n">
        <v>2</v>
      </c>
      <c r="I129" s="49" t="inlineStr">
        <is>
          <t>Electoral democracy</t>
        </is>
      </c>
      <c r="J129" s="49" t="n">
        <v>2023</v>
      </c>
      <c r="K129" s="72" t="n"/>
      <c r="L129" s="49" t="n"/>
      <c r="M129" s="54">
        <f>IF(K129="","Missing","Observed")</f>
        <v/>
      </c>
      <c r="N129" s="71">
        <f>LN(C129)</f>
        <v/>
      </c>
      <c r="O129" s="49">
        <f>IF($H129=1,1,0)</f>
        <v/>
      </c>
      <c r="P129" s="49">
        <f>IF($H129=2,1,0)</f>
        <v/>
      </c>
      <c r="Q129" s="49">
        <f>IF($H129=3,1,0)</f>
        <v/>
      </c>
      <c r="R129" s="49">
        <f>IF($L129="","",$L129-2018)</f>
        <v/>
      </c>
      <c r="S129" s="49" t="str"/>
    </row>
    <row r="130">
      <c r="A130" s="49" t="inlineStr">
        <is>
          <t>RUS</t>
        </is>
      </c>
      <c r="B130" s="49" t="inlineStr">
        <is>
          <t>Russian Federation</t>
        </is>
      </c>
      <c r="C130" s="69" t="n">
        <v>9</v>
      </c>
      <c r="D130" s="49" t="n">
        <v>2023</v>
      </c>
      <c r="E130" s="70" t="n">
        <v>39881.44921875</v>
      </c>
      <c r="F130" s="49" t="n">
        <v>2023</v>
      </c>
      <c r="G130" s="71">
        <f>LN(E130)</f>
        <v/>
      </c>
      <c r="H130" s="49" t="n">
        <v>1</v>
      </c>
      <c r="I130" s="49" t="inlineStr">
        <is>
          <t>Electoral autocracy</t>
        </is>
      </c>
      <c r="J130" s="49" t="n">
        <v>2023</v>
      </c>
      <c r="K130" s="72" t="n">
        <v>68</v>
      </c>
      <c r="L130" s="49" t="n">
        <v>2011</v>
      </c>
      <c r="M130" s="54">
        <f>IF(K130="","Missing","Observed")</f>
        <v/>
      </c>
      <c r="N130" s="71">
        <f>LN(C130)</f>
        <v/>
      </c>
      <c r="O130" s="49">
        <f>IF($H130=1,1,0)</f>
        <v/>
      </c>
      <c r="P130" s="49">
        <f>IF($H130=2,1,0)</f>
        <v/>
      </c>
      <c r="Q130" s="49">
        <f>IF($H130=3,1,0)</f>
        <v/>
      </c>
      <c r="R130" s="49">
        <f>IF($L130="","",$L130-2018)</f>
        <v/>
      </c>
      <c r="S130" s="49" t="str"/>
    </row>
    <row r="131">
      <c r="A131" s="49" t="inlineStr">
        <is>
          <t>RWA</t>
        </is>
      </c>
      <c r="B131" s="49" t="inlineStr">
        <is>
          <t>Rwanda</t>
        </is>
      </c>
      <c r="C131" s="69" t="n">
        <v>229</v>
      </c>
      <c r="D131" s="49" t="n">
        <v>2023</v>
      </c>
      <c r="E131" s="70" t="n">
        <v>3168.03075281515</v>
      </c>
      <c r="F131" s="49" t="n">
        <v>2023</v>
      </c>
      <c r="G131" s="71">
        <f>LN(E131)</f>
        <v/>
      </c>
      <c r="H131" s="49" t="n">
        <v>1</v>
      </c>
      <c r="I131" s="49" t="inlineStr">
        <is>
          <t>Electoral autocracy</t>
        </is>
      </c>
      <c r="J131" s="49" t="n">
        <v>2023</v>
      </c>
      <c r="K131" s="72" t="n">
        <v>64.09999999999999</v>
      </c>
      <c r="L131" s="49" t="n">
        <v>2020</v>
      </c>
      <c r="M131" s="54">
        <f>IF(K131="","Missing","Observed")</f>
        <v/>
      </c>
      <c r="N131" s="71">
        <f>LN(C131)</f>
        <v/>
      </c>
      <c r="O131" s="49">
        <f>IF($H131=1,1,0)</f>
        <v/>
      </c>
      <c r="P131" s="49">
        <f>IF($H131=2,1,0)</f>
        <v/>
      </c>
      <c r="Q131" s="49">
        <f>IF($H131=3,1,0)</f>
        <v/>
      </c>
      <c r="R131" s="49">
        <f>IF($L131="","",$L131-2018)</f>
        <v/>
      </c>
      <c r="S131" s="49" t="str"/>
    </row>
    <row r="132">
      <c r="A132" s="49" t="inlineStr">
        <is>
          <t>STP</t>
        </is>
      </c>
      <c r="B132" s="49" t="inlineStr">
        <is>
          <t>Sao Tome and Principe</t>
        </is>
      </c>
      <c r="C132" s="69" t="n">
        <v>75</v>
      </c>
      <c r="D132" s="49" t="n">
        <v>2023</v>
      </c>
      <c r="E132" s="70" t="n">
        <v>5541.3016760535</v>
      </c>
      <c r="F132" s="49" t="n">
        <v>2023</v>
      </c>
      <c r="G132" s="71">
        <f>LN(E132)</f>
        <v/>
      </c>
      <c r="H132" s="49" t="n">
        <v>2</v>
      </c>
      <c r="I132" s="49" t="inlineStr">
        <is>
          <t>Electoral democracy</t>
        </is>
      </c>
      <c r="J132" s="49" t="n">
        <v>2023</v>
      </c>
      <c r="K132" s="72" t="n">
        <v>49.6820543663491</v>
      </c>
      <c r="L132" s="49" t="n">
        <v>2019</v>
      </c>
      <c r="M132" s="54">
        <f>IF(K132="","Missing","Observed")</f>
        <v/>
      </c>
      <c r="N132" s="71">
        <f>LN(C132)</f>
        <v/>
      </c>
      <c r="O132" s="49">
        <f>IF($H132=1,1,0)</f>
        <v/>
      </c>
      <c r="P132" s="49">
        <f>IF($H132=2,1,0)</f>
        <v/>
      </c>
      <c r="Q132" s="49">
        <f>IF($H132=3,1,0)</f>
        <v/>
      </c>
      <c r="R132" s="49">
        <f>IF($L132="","",$L132-2018)</f>
        <v/>
      </c>
      <c r="S132" s="49" t="str"/>
    </row>
    <row r="133">
      <c r="A133" s="49" t="inlineStr">
        <is>
          <t>SAU</t>
        </is>
      </c>
      <c r="B133" s="49" t="inlineStr">
        <is>
          <t>Saudi Arabia</t>
        </is>
      </c>
      <c r="C133" s="69" t="n">
        <v>7</v>
      </c>
      <c r="D133" s="49" t="n">
        <v>2023</v>
      </c>
      <c r="E133" s="70" t="n">
        <v>64481.8441927288</v>
      </c>
      <c r="F133" s="49" t="n">
        <v>2023</v>
      </c>
      <c r="G133" s="71">
        <f>LN(E133)</f>
        <v/>
      </c>
      <c r="H133" s="49" t="n">
        <v>0</v>
      </c>
      <c r="I133" s="49" t="inlineStr">
        <is>
          <t>Closed autocracy</t>
        </is>
      </c>
      <c r="J133" s="49" t="n">
        <v>2023</v>
      </c>
      <c r="K133" s="72" t="n">
        <v>39.9921873361432</v>
      </c>
      <c r="L133" s="49" t="n">
        <v>2023</v>
      </c>
      <c r="M133" s="54">
        <f>IF(K133="","Missing","Observed")</f>
        <v/>
      </c>
      <c r="N133" s="71">
        <f>LN(C133)</f>
        <v/>
      </c>
      <c r="O133" s="49">
        <f>IF($H133=1,1,0)</f>
        <v/>
      </c>
      <c r="P133" s="49">
        <f>IF($H133=2,1,0)</f>
        <v/>
      </c>
      <c r="Q133" s="49">
        <f>IF($H133=3,1,0)</f>
        <v/>
      </c>
      <c r="R133" s="49">
        <f>IF($L133="","",$L133-2018)</f>
        <v/>
      </c>
      <c r="S133" s="49" t="str"/>
    </row>
    <row r="134">
      <c r="A134" s="49" t="inlineStr">
        <is>
          <t>SEN</t>
        </is>
      </c>
      <c r="B134" s="49" t="inlineStr">
        <is>
          <t>Senegal</t>
        </is>
      </c>
      <c r="C134" s="69" t="n">
        <v>237</v>
      </c>
      <c r="D134" s="49" t="n">
        <v>2023</v>
      </c>
      <c r="E134" s="70" t="n">
        <v>4304.76148721773</v>
      </c>
      <c r="F134" s="49" t="n">
        <v>2023</v>
      </c>
      <c r="G134" s="71">
        <f>LN(E134)</f>
        <v/>
      </c>
      <c r="H134" s="49" t="n">
        <v>2</v>
      </c>
      <c r="I134" s="49" t="inlineStr">
        <is>
          <t>Electoral democracy</t>
        </is>
      </c>
      <c r="J134" s="49" t="n">
        <v>2023</v>
      </c>
      <c r="K134" s="72" t="n">
        <v>26.5</v>
      </c>
      <c r="L134" s="49" t="n">
        <v>2023</v>
      </c>
      <c r="M134" s="54">
        <f>IF(K134="","Missing","Observed")</f>
        <v/>
      </c>
      <c r="N134" s="71">
        <f>LN(C134)</f>
        <v/>
      </c>
      <c r="O134" s="49">
        <f>IF($H134=1,1,0)</f>
        <v/>
      </c>
      <c r="P134" s="49">
        <f>IF($H134=2,1,0)</f>
        <v/>
      </c>
      <c r="Q134" s="49">
        <f>IF($H134=3,1,0)</f>
        <v/>
      </c>
      <c r="R134" s="49">
        <f>IF($L134="","",$L134-2018)</f>
        <v/>
      </c>
      <c r="S134" s="49" t="str"/>
    </row>
    <row r="135">
      <c r="A135" s="49" t="inlineStr">
        <is>
          <t>SRB</t>
        </is>
      </c>
      <c r="B135" s="49" t="inlineStr">
        <is>
          <t>Serbia</t>
        </is>
      </c>
      <c r="C135" s="69" t="n">
        <v>11</v>
      </c>
      <c r="D135" s="49" t="n">
        <v>2023</v>
      </c>
      <c r="E135" s="70" t="n">
        <v>25735.1334774195</v>
      </c>
      <c r="F135" s="49" t="n">
        <v>2023</v>
      </c>
      <c r="G135" s="71">
        <f>LN(E135)</f>
        <v/>
      </c>
      <c r="H135" s="49" t="n">
        <v>1</v>
      </c>
      <c r="I135" s="49" t="inlineStr">
        <is>
          <t>Electoral autocracy</t>
        </is>
      </c>
      <c r="J135" s="49" t="n">
        <v>2023</v>
      </c>
      <c r="K135" s="72" t="n">
        <v>62.2958961009131</v>
      </c>
      <c r="L135" s="49" t="n">
        <v>2019</v>
      </c>
      <c r="M135" s="54">
        <f>IF(K135="","Missing","Observed")</f>
        <v/>
      </c>
      <c r="N135" s="71">
        <f>LN(C135)</f>
        <v/>
      </c>
      <c r="O135" s="49">
        <f>IF($H135=1,1,0)</f>
        <v/>
      </c>
      <c r="P135" s="49">
        <f>IF($H135=2,1,0)</f>
        <v/>
      </c>
      <c r="Q135" s="49">
        <f>IF($H135=3,1,0)</f>
        <v/>
      </c>
      <c r="R135" s="49">
        <f>IF($L135="","",$L135-2018)</f>
        <v/>
      </c>
      <c r="S135" s="49" t="str"/>
    </row>
    <row r="136">
      <c r="A136" s="49" t="inlineStr">
        <is>
          <t>SYC</t>
        </is>
      </c>
      <c r="B136" s="49" t="inlineStr">
        <is>
          <t>Seychelles</t>
        </is>
      </c>
      <c r="C136" s="69" t="n">
        <v>42</v>
      </c>
      <c r="D136" s="49" t="n">
        <v>2023</v>
      </c>
      <c r="E136" s="70" t="n">
        <v>28713.6672353088</v>
      </c>
      <c r="F136" s="49" t="n">
        <v>2023</v>
      </c>
      <c r="G136" s="71">
        <f>LN(E136)</f>
        <v/>
      </c>
      <c r="H136" s="49" t="n">
        <v>3</v>
      </c>
      <c r="I136" s="49" t="inlineStr">
        <is>
          <t>Liberal democracy</t>
        </is>
      </c>
      <c r="J136" s="49" t="n">
        <v>2023</v>
      </c>
      <c r="K136" s="72" t="n"/>
      <c r="L136" s="49" t="n"/>
      <c r="M136" s="54">
        <f>IF(K136="","Missing","Observed")</f>
        <v/>
      </c>
      <c r="N136" s="71">
        <f>LN(C136)</f>
        <v/>
      </c>
      <c r="O136" s="49">
        <f>IF($H136=1,1,0)</f>
        <v/>
      </c>
      <c r="P136" s="49">
        <f>IF($H136=2,1,0)</f>
        <v/>
      </c>
      <c r="Q136" s="49">
        <f>IF($H136=3,1,0)</f>
        <v/>
      </c>
      <c r="R136" s="49">
        <f>IF($L136="","",$L136-2018)</f>
        <v/>
      </c>
      <c r="S136" s="49" t="str"/>
    </row>
    <row r="137">
      <c r="A137" s="49" t="inlineStr">
        <is>
          <t>SLE</t>
        </is>
      </c>
      <c r="B137" s="49" t="inlineStr">
        <is>
          <t>Sierra Leone</t>
        </is>
      </c>
      <c r="C137" s="69" t="n">
        <v>354</v>
      </c>
      <c r="D137" s="49" t="n">
        <v>2023</v>
      </c>
      <c r="E137" s="70" t="n">
        <v>3034.94608192505</v>
      </c>
      <c r="F137" s="49" t="n">
        <v>2023</v>
      </c>
      <c r="G137" s="71">
        <f>LN(E137)</f>
        <v/>
      </c>
      <c r="H137" s="49" t="n">
        <v>1</v>
      </c>
      <c r="I137" s="49" t="inlineStr">
        <is>
          <t>Electoral autocracy</t>
        </is>
      </c>
      <c r="J137" s="49" t="n">
        <v>2023</v>
      </c>
      <c r="K137" s="72" t="n">
        <v>21.2</v>
      </c>
      <c r="L137" s="49" t="n">
        <v>2019</v>
      </c>
      <c r="M137" s="54">
        <f>IF(K137="","Missing","Observed")</f>
        <v/>
      </c>
      <c r="N137" s="71">
        <f>LN(C137)</f>
        <v/>
      </c>
      <c r="O137" s="49">
        <f>IF($H137=1,1,0)</f>
        <v/>
      </c>
      <c r="P137" s="49">
        <f>IF($H137=2,1,0)</f>
        <v/>
      </c>
      <c r="Q137" s="49">
        <f>IF($H137=3,1,0)</f>
        <v/>
      </c>
      <c r="R137" s="49">
        <f>IF($L137="","",$L137-2018)</f>
        <v/>
      </c>
      <c r="S137" s="49" t="str"/>
    </row>
    <row r="138">
      <c r="A138" s="49" t="inlineStr">
        <is>
          <t>SGP</t>
        </is>
      </c>
      <c r="B138" s="49" t="inlineStr">
        <is>
          <t>Singapore</t>
        </is>
      </c>
      <c r="C138" s="69" t="n">
        <v>6</v>
      </c>
      <c r="D138" s="49" t="n">
        <v>2023</v>
      </c>
      <c r="E138" s="70" t="n">
        <v>130296.843789261</v>
      </c>
      <c r="F138" s="49" t="n">
        <v>2023</v>
      </c>
      <c r="G138" s="71">
        <f>LN(E138)</f>
        <v/>
      </c>
      <c r="H138" s="49" t="n">
        <v>1</v>
      </c>
      <c r="I138" s="49" t="inlineStr">
        <is>
          <t>Electoral autocracy</t>
        </is>
      </c>
      <c r="J138" s="49" t="n">
        <v>2023</v>
      </c>
      <c r="K138" s="72" t="n"/>
      <c r="L138" s="49" t="n"/>
      <c r="M138" s="54">
        <f>IF(K138="","Missing","Observed")</f>
        <v/>
      </c>
      <c r="N138" s="71">
        <f>LN(C138)</f>
        <v/>
      </c>
      <c r="O138" s="49">
        <f>IF($H138=1,1,0)</f>
        <v/>
      </c>
      <c r="P138" s="49">
        <f>IF($H138=2,1,0)</f>
        <v/>
      </c>
      <c r="Q138" s="49">
        <f>IF($H138=3,1,0)</f>
        <v/>
      </c>
      <c r="R138" s="49">
        <f>IF($L138="","",$L138-2018)</f>
        <v/>
      </c>
      <c r="S138" s="49" t="str"/>
    </row>
    <row r="139">
      <c r="A139" s="49" t="inlineStr">
        <is>
          <t>SVK</t>
        </is>
      </c>
      <c r="B139" s="49" t="inlineStr">
        <is>
          <t>Slovak Republic</t>
        </is>
      </c>
      <c r="C139" s="69" t="n">
        <v>4</v>
      </c>
      <c r="D139" s="49" t="n">
        <v>2023</v>
      </c>
      <c r="E139" s="70" t="n">
        <v>39501.9474231962</v>
      </c>
      <c r="F139" s="49" t="n">
        <v>2023</v>
      </c>
      <c r="G139" s="71">
        <f>LN(E139)</f>
        <v/>
      </c>
      <c r="H139" s="49" t="n">
        <v>2</v>
      </c>
      <c r="I139" s="49" t="inlineStr">
        <is>
          <t>Electoral democracy</t>
        </is>
      </c>
      <c r="J139" s="49" t="n">
        <v>2023</v>
      </c>
      <c r="K139" s="72" t="n"/>
      <c r="L139" s="49" t="n"/>
      <c r="M139" s="54">
        <f>IF(K139="","Missing","Observed")</f>
        <v/>
      </c>
      <c r="N139" s="71">
        <f>LN(C139)</f>
        <v/>
      </c>
      <c r="O139" s="49">
        <f>IF($H139=1,1,0)</f>
        <v/>
      </c>
      <c r="P139" s="49">
        <f>IF($H139=2,1,0)</f>
        <v/>
      </c>
      <c r="Q139" s="49">
        <f>IF($H139=3,1,0)</f>
        <v/>
      </c>
      <c r="R139" s="49">
        <f>IF($L139="","",$L139-2018)</f>
        <v/>
      </c>
      <c r="S139" s="49" t="str"/>
    </row>
    <row r="140">
      <c r="A140" s="49" t="inlineStr">
        <is>
          <t>SVN</t>
        </is>
      </c>
      <c r="B140" s="49" t="inlineStr">
        <is>
          <t>Slovenia</t>
        </is>
      </c>
      <c r="C140" s="69" t="n">
        <v>3</v>
      </c>
      <c r="D140" s="49" t="n">
        <v>2023</v>
      </c>
      <c r="E140" s="70" t="n">
        <v>47986.4195855821</v>
      </c>
      <c r="F140" s="49" t="n">
        <v>2023</v>
      </c>
      <c r="G140" s="71">
        <f>LN(E140)</f>
        <v/>
      </c>
      <c r="H140" s="49" t="n">
        <v>2</v>
      </c>
      <c r="I140" s="49" t="inlineStr">
        <is>
          <t>Electoral democracy</t>
        </is>
      </c>
      <c r="J140" s="49" t="n">
        <v>2023</v>
      </c>
      <c r="K140" s="72" t="n"/>
      <c r="L140" s="49" t="n"/>
      <c r="M140" s="54">
        <f>IF(K140="","Missing","Observed")</f>
        <v/>
      </c>
      <c r="N140" s="71">
        <f>LN(C140)</f>
        <v/>
      </c>
      <c r="O140" s="49">
        <f>IF($H140=1,1,0)</f>
        <v/>
      </c>
      <c r="P140" s="49">
        <f>IF($H140=2,1,0)</f>
        <v/>
      </c>
      <c r="Q140" s="49">
        <f>IF($H140=3,1,0)</f>
        <v/>
      </c>
      <c r="R140" s="49">
        <f>IF($L140="","",$L140-2018)</f>
        <v/>
      </c>
      <c r="S140" s="49" t="str"/>
    </row>
    <row r="141">
      <c r="A141" s="49" t="inlineStr">
        <is>
          <t>SLB</t>
        </is>
      </c>
      <c r="B141" s="49" t="inlineStr">
        <is>
          <t>Solomon Islands</t>
        </is>
      </c>
      <c r="C141" s="69" t="n">
        <v>123</v>
      </c>
      <c r="D141" s="49" t="n">
        <v>2023</v>
      </c>
      <c r="E141" s="70" t="n">
        <v>2339.87469992347</v>
      </c>
      <c r="F141" s="49" t="n">
        <v>2023</v>
      </c>
      <c r="G141" s="71">
        <f>LN(E141)</f>
        <v/>
      </c>
      <c r="H141" s="49" t="n">
        <v>2</v>
      </c>
      <c r="I141" s="49" t="inlineStr">
        <is>
          <t>Electoral democracy</t>
        </is>
      </c>
      <c r="J141" s="49" t="n">
        <v>2023</v>
      </c>
      <c r="K141" s="72" t="n">
        <v>29.3</v>
      </c>
      <c r="L141" s="49" t="n">
        <v>2015</v>
      </c>
      <c r="M141" s="54">
        <f>IF(K141="","Missing","Observed")</f>
        <v/>
      </c>
      <c r="N141" s="71">
        <f>LN(C141)</f>
        <v/>
      </c>
      <c r="O141" s="49">
        <f>IF($H141=1,1,0)</f>
        <v/>
      </c>
      <c r="P141" s="49">
        <f>IF($H141=2,1,0)</f>
        <v/>
      </c>
      <c r="Q141" s="49">
        <f>IF($H141=3,1,0)</f>
        <v/>
      </c>
      <c r="R141" s="49">
        <f>IF($L141="","",$L141-2018)</f>
        <v/>
      </c>
      <c r="S141" s="49" t="str"/>
    </row>
    <row r="142">
      <c r="A142" s="49" t="inlineStr">
        <is>
          <t>SOM</t>
        </is>
      </c>
      <c r="B142" s="49" t="inlineStr">
        <is>
          <t>Somalia, Fed. Rep.</t>
        </is>
      </c>
      <c r="C142" s="69" t="n">
        <v>563</v>
      </c>
      <c r="D142" s="49" t="n">
        <v>2023</v>
      </c>
      <c r="E142" s="70" t="n">
        <v>1401.64735228455</v>
      </c>
      <c r="F142" s="49" t="n">
        <v>2023</v>
      </c>
      <c r="G142" s="71">
        <f>LN(E142)</f>
        <v/>
      </c>
      <c r="H142" s="49" t="n">
        <v>0</v>
      </c>
      <c r="I142" s="49" t="inlineStr">
        <is>
          <t>Closed autocracy</t>
        </is>
      </c>
      <c r="J142" s="49" t="n">
        <v>2023</v>
      </c>
      <c r="K142" s="72" t="n">
        <v>6.9</v>
      </c>
      <c r="L142" s="49" t="n">
        <v>2019</v>
      </c>
      <c r="M142" s="54">
        <f>IF(K142="","Missing","Observed")</f>
        <v/>
      </c>
      <c r="N142" s="71">
        <f>LN(C142)</f>
        <v/>
      </c>
      <c r="O142" s="49">
        <f>IF($H142=1,1,0)</f>
        <v/>
      </c>
      <c r="P142" s="49">
        <f>IF($H142=2,1,0)</f>
        <v/>
      </c>
      <c r="Q142" s="49">
        <f>IF($H142=3,1,0)</f>
        <v/>
      </c>
      <c r="R142" s="49">
        <f>IF($L142="","",$L142-2018)</f>
        <v/>
      </c>
      <c r="S142" s="49" t="str"/>
    </row>
    <row r="143">
      <c r="A143" s="49" t="inlineStr">
        <is>
          <t>ZAF</t>
        </is>
      </c>
      <c r="B143" s="49" t="inlineStr">
        <is>
          <t>South Africa</t>
        </is>
      </c>
      <c r="C143" s="69" t="n">
        <v>118</v>
      </c>
      <c r="D143" s="49" t="n">
        <v>2023</v>
      </c>
      <c r="E143" s="70" t="n">
        <v>13695.3755694076</v>
      </c>
      <c r="F143" s="49" t="n">
        <v>2023</v>
      </c>
      <c r="G143" s="71">
        <f>LN(E143)</f>
        <v/>
      </c>
      <c r="H143" s="49" t="n">
        <v>2</v>
      </c>
      <c r="I143" s="49" t="inlineStr">
        <is>
          <t>Electoral democracy</t>
        </is>
      </c>
      <c r="J143" s="49" t="n">
        <v>2023</v>
      </c>
      <c r="K143" s="72" t="n">
        <v>54.6</v>
      </c>
      <c r="L143" s="49" t="n">
        <v>2016</v>
      </c>
      <c r="M143" s="54">
        <f>IF(K143="","Missing","Observed")</f>
        <v/>
      </c>
      <c r="N143" s="71">
        <f>LN(C143)</f>
        <v/>
      </c>
      <c r="O143" s="49">
        <f>IF($H143=1,1,0)</f>
        <v/>
      </c>
      <c r="P143" s="49">
        <f>IF($H143=2,1,0)</f>
        <v/>
      </c>
      <c r="Q143" s="49">
        <f>IF($H143=3,1,0)</f>
        <v/>
      </c>
      <c r="R143" s="49">
        <f>IF($L143="","",$L143-2018)</f>
        <v/>
      </c>
      <c r="S143" s="49" t="str"/>
    </row>
    <row r="144">
      <c r="A144" s="49" t="inlineStr">
        <is>
          <t>ESP</t>
        </is>
      </c>
      <c r="B144" s="49" t="inlineStr">
        <is>
          <t>Spain</t>
        </is>
      </c>
      <c r="C144" s="69" t="n">
        <v>3</v>
      </c>
      <c r="D144" s="49" t="n">
        <v>2023</v>
      </c>
      <c r="E144" s="70" t="n">
        <v>47322.5937004504</v>
      </c>
      <c r="F144" s="49" t="n">
        <v>2023</v>
      </c>
      <c r="G144" s="71">
        <f>LN(E144)</f>
        <v/>
      </c>
      <c r="H144" s="49" t="n">
        <v>3</v>
      </c>
      <c r="I144" s="49" t="inlineStr">
        <is>
          <t>Liberal democracy</t>
        </is>
      </c>
      <c r="J144" s="49" t="n">
        <v>2023</v>
      </c>
      <c r="K144" s="72" t="n">
        <v>62.0757</v>
      </c>
      <c r="L144" s="49" t="n">
        <v>2018</v>
      </c>
      <c r="M144" s="54">
        <f>IF(K144="","Missing","Observed")</f>
        <v/>
      </c>
      <c r="N144" s="71">
        <f>LN(C144)</f>
        <v/>
      </c>
      <c r="O144" s="49">
        <f>IF($H144=1,1,0)</f>
        <v/>
      </c>
      <c r="P144" s="49">
        <f>IF($H144=2,1,0)</f>
        <v/>
      </c>
      <c r="Q144" s="49">
        <f>IF($H144=3,1,0)</f>
        <v/>
      </c>
      <c r="R144" s="49">
        <f>IF($L144="","",$L144-2018)</f>
        <v/>
      </c>
      <c r="S144" s="49" t="str"/>
    </row>
    <row r="145">
      <c r="A145" s="49" t="inlineStr">
        <is>
          <t>LKA</t>
        </is>
      </c>
      <c r="B145" s="49" t="inlineStr">
        <is>
          <t>Sri Lanka</t>
        </is>
      </c>
      <c r="C145" s="69" t="n">
        <v>18</v>
      </c>
      <c r="D145" s="49" t="n">
        <v>2023</v>
      </c>
      <c r="E145" s="70" t="n">
        <v>13065.0698305722</v>
      </c>
      <c r="F145" s="49" t="n">
        <v>2023</v>
      </c>
      <c r="G145" s="71">
        <f>LN(E145)</f>
        <v/>
      </c>
      <c r="H145" s="49" t="n">
        <v>2</v>
      </c>
      <c r="I145" s="49" t="inlineStr">
        <is>
          <t>Electoral democracy</t>
        </is>
      </c>
      <c r="J145" s="49" t="n">
        <v>2023</v>
      </c>
      <c r="K145" s="72" t="n">
        <v>64.59999999999999</v>
      </c>
      <c r="L145" s="49" t="n">
        <v>2016</v>
      </c>
      <c r="M145" s="54">
        <f>IF(K145="","Missing","Observed")</f>
        <v/>
      </c>
      <c r="N145" s="71">
        <f>LN(C145)</f>
        <v/>
      </c>
      <c r="O145" s="49">
        <f>IF($H145=1,1,0)</f>
        <v/>
      </c>
      <c r="P145" s="49">
        <f>IF($H145=2,1,0)</f>
        <v/>
      </c>
      <c r="Q145" s="49">
        <f>IF($H145=3,1,0)</f>
        <v/>
      </c>
      <c r="R145" s="49">
        <f>IF($L145="","",$L145-2018)</f>
        <v/>
      </c>
      <c r="S145" s="49" t="str"/>
    </row>
    <row r="146">
      <c r="A146" s="49" t="inlineStr">
        <is>
          <t>SDN</t>
        </is>
      </c>
      <c r="B146" s="49" t="inlineStr">
        <is>
          <t>Sudan</t>
        </is>
      </c>
      <c r="C146" s="69" t="n">
        <v>256</v>
      </c>
      <c r="D146" s="49" t="n">
        <v>2023</v>
      </c>
      <c r="E146" s="70" t="n">
        <v>2181.0791015625</v>
      </c>
      <c r="F146" s="49" t="n">
        <v>2023</v>
      </c>
      <c r="G146" s="71">
        <f>LN(E146)</f>
        <v/>
      </c>
      <c r="H146" s="49" t="n">
        <v>0</v>
      </c>
      <c r="I146" s="49" t="inlineStr">
        <is>
          <t>Closed autocracy</t>
        </is>
      </c>
      <c r="J146" s="49" t="n">
        <v>2023</v>
      </c>
      <c r="K146" s="72" t="n">
        <v>12.77805417</v>
      </c>
      <c r="L146" s="49" t="n">
        <v>2014</v>
      </c>
      <c r="M146" s="54">
        <f>IF(K146="","Missing","Observed")</f>
        <v/>
      </c>
      <c r="N146" s="71">
        <f>LN(C146)</f>
        <v/>
      </c>
      <c r="O146" s="49">
        <f>IF($H146=1,1,0)</f>
        <v/>
      </c>
      <c r="P146" s="49">
        <f>IF($H146=2,1,0)</f>
        <v/>
      </c>
      <c r="Q146" s="49">
        <f>IF($H146=3,1,0)</f>
        <v/>
      </c>
      <c r="R146" s="49">
        <f>IF($L146="","",$L146-2018)</f>
        <v/>
      </c>
      <c r="S146" s="49" t="str"/>
    </row>
    <row r="147">
      <c r="A147" s="49" t="inlineStr">
        <is>
          <t>SUR</t>
        </is>
      </c>
      <c r="B147" s="49" t="inlineStr">
        <is>
          <t>Suriname</t>
        </is>
      </c>
      <c r="C147" s="69" t="n">
        <v>84</v>
      </c>
      <c r="D147" s="49" t="n">
        <v>2023</v>
      </c>
      <c r="E147" s="70" t="n">
        <v>19020.8663751009</v>
      </c>
      <c r="F147" s="49" t="n">
        <v>2023</v>
      </c>
      <c r="G147" s="71">
        <f>LN(E147)</f>
        <v/>
      </c>
      <c r="H147" s="49" t="n">
        <v>3</v>
      </c>
      <c r="I147" s="49" t="inlineStr">
        <is>
          <t>Liberal democracy</t>
        </is>
      </c>
      <c r="J147" s="49" t="n">
        <v>2023</v>
      </c>
      <c r="K147" s="72" t="n">
        <v>39.12159292</v>
      </c>
      <c r="L147" s="49" t="n">
        <v>2018</v>
      </c>
      <c r="M147" s="54">
        <f>IF(K147="","Missing","Observed")</f>
        <v/>
      </c>
      <c r="N147" s="71">
        <f>LN(C147)</f>
        <v/>
      </c>
      <c r="O147" s="49">
        <f>IF($H147=1,1,0)</f>
        <v/>
      </c>
      <c r="P147" s="49">
        <f>IF($H147=2,1,0)</f>
        <v/>
      </c>
      <c r="Q147" s="49">
        <f>IF($H147=3,1,0)</f>
        <v/>
      </c>
      <c r="R147" s="49">
        <f>IF($L147="","",$L147-2018)</f>
        <v/>
      </c>
      <c r="S147" s="49" t="str"/>
    </row>
    <row r="148">
      <c r="A148" s="49" t="inlineStr">
        <is>
          <t>SWE</t>
        </is>
      </c>
      <c r="B148" s="49" t="inlineStr">
        <is>
          <t>Sweden</t>
        </is>
      </c>
      <c r="C148" s="69" t="n">
        <v>4</v>
      </c>
      <c r="D148" s="49" t="n">
        <v>2023</v>
      </c>
      <c r="E148" s="70" t="n">
        <v>62122.5116950792</v>
      </c>
      <c r="F148" s="49" t="n">
        <v>2023</v>
      </c>
      <c r="G148" s="71">
        <f>LN(E148)</f>
        <v/>
      </c>
      <c r="H148" s="49" t="n">
        <v>3</v>
      </c>
      <c r="I148" s="49" t="inlineStr">
        <is>
          <t>Liberal democracy</t>
        </is>
      </c>
      <c r="J148" s="49" t="n">
        <v>2023</v>
      </c>
      <c r="K148" s="72" t="n"/>
      <c r="L148" s="49" t="n"/>
      <c r="M148" s="54">
        <f>IF(K148="","Missing","Observed")</f>
        <v/>
      </c>
      <c r="N148" s="71">
        <f>LN(C148)</f>
        <v/>
      </c>
      <c r="O148" s="49">
        <f>IF($H148=1,1,0)</f>
        <v/>
      </c>
      <c r="P148" s="49">
        <f>IF($H148=2,1,0)</f>
        <v/>
      </c>
      <c r="Q148" s="49">
        <f>IF($H148=3,1,0)</f>
        <v/>
      </c>
      <c r="R148" s="49">
        <f>IF($L148="","",$L148-2018)</f>
        <v/>
      </c>
      <c r="S148" s="49" t="str"/>
    </row>
    <row r="149">
      <c r="A149" s="49" t="inlineStr">
        <is>
          <t>CHE</t>
        </is>
      </c>
      <c r="B149" s="49" t="inlineStr">
        <is>
          <t>Switzerland</t>
        </is>
      </c>
      <c r="C149" s="69" t="n">
        <v>5</v>
      </c>
      <c r="D149" s="49" t="n">
        <v>2023</v>
      </c>
      <c r="E149" s="70" t="n">
        <v>85383.3564504008</v>
      </c>
      <c r="F149" s="49" t="n">
        <v>2023</v>
      </c>
      <c r="G149" s="71">
        <f>LN(E149)</f>
        <v/>
      </c>
      <c r="H149" s="49" t="n">
        <v>3</v>
      </c>
      <c r="I149" s="49" t="inlineStr">
        <is>
          <t>Liberal democracy</t>
        </is>
      </c>
      <c r="J149" s="49" t="n">
        <v>2023</v>
      </c>
      <c r="K149" s="72" t="n">
        <v>71.59999999999999</v>
      </c>
      <c r="L149" s="49" t="n">
        <v>2017</v>
      </c>
      <c r="M149" s="54">
        <f>IF(K149="","Missing","Observed")</f>
        <v/>
      </c>
      <c r="N149" s="71">
        <f>LN(C149)</f>
        <v/>
      </c>
      <c r="O149" s="49">
        <f>IF($H149=1,1,0)</f>
        <v/>
      </c>
      <c r="P149" s="49">
        <f>IF($H149=2,1,0)</f>
        <v/>
      </c>
      <c r="Q149" s="49">
        <f>IF($H149=3,1,0)</f>
        <v/>
      </c>
      <c r="R149" s="49">
        <f>IF($L149="","",$L149-2018)</f>
        <v/>
      </c>
      <c r="S149" s="49" t="str"/>
    </row>
    <row r="150">
      <c r="A150" s="49" t="inlineStr">
        <is>
          <t>SYR</t>
        </is>
      </c>
      <c r="B150" s="49" t="inlineStr">
        <is>
          <t>Syrian Arab Republic</t>
        </is>
      </c>
      <c r="C150" s="69" t="n">
        <v>20</v>
      </c>
      <c r="D150" s="49" t="n">
        <v>2023</v>
      </c>
      <c r="E150" s="70" t="n">
        <v>4579.43973633341</v>
      </c>
      <c r="F150" s="49" t="n">
        <v>2022</v>
      </c>
      <c r="G150" s="71">
        <f>LN(E150)</f>
        <v/>
      </c>
      <c r="H150" s="49" t="n">
        <v>0</v>
      </c>
      <c r="I150" s="49" t="inlineStr">
        <is>
          <t>Closed autocracy</t>
        </is>
      </c>
      <c r="J150" s="49" t="n">
        <v>2023</v>
      </c>
      <c r="K150" s="72" t="n"/>
      <c r="L150" s="49" t="n"/>
      <c r="M150" s="54">
        <f>IF(K150="","Missing","Observed")</f>
        <v/>
      </c>
      <c r="N150" s="71">
        <f>LN(C150)</f>
        <v/>
      </c>
      <c r="O150" s="49">
        <f>IF($H150=1,1,0)</f>
        <v/>
      </c>
      <c r="P150" s="49">
        <f>IF($H150=2,1,0)</f>
        <v/>
      </c>
      <c r="Q150" s="49">
        <f>IF($H150=3,1,0)</f>
        <v/>
      </c>
      <c r="R150" s="49">
        <f>IF($L150="","",$L150-2018)</f>
        <v/>
      </c>
      <c r="S150" s="49" t="str"/>
    </row>
    <row r="151">
      <c r="A151" s="49" t="inlineStr">
        <is>
          <t>TJK</t>
        </is>
      </c>
      <c r="B151" s="49" t="inlineStr">
        <is>
          <t>Tajikistan</t>
        </is>
      </c>
      <c r="C151" s="69" t="n">
        <v>14</v>
      </c>
      <c r="D151" s="49" t="n">
        <v>2023</v>
      </c>
      <c r="E151" s="70" t="n">
        <v>4472.3241378777</v>
      </c>
      <c r="F151" s="49" t="n">
        <v>2023</v>
      </c>
      <c r="G151" s="71">
        <f>LN(E151)</f>
        <v/>
      </c>
      <c r="H151" s="49" t="n">
        <v>1</v>
      </c>
      <c r="I151" s="49" t="inlineStr">
        <is>
          <t>Electoral autocracy</t>
        </is>
      </c>
      <c r="J151" s="49" t="n">
        <v>2023</v>
      </c>
      <c r="K151" s="72" t="n">
        <v>29.3</v>
      </c>
      <c r="L151" s="49" t="n">
        <v>2017</v>
      </c>
      <c r="M151" s="54">
        <f>IF(K151="","Missing","Observed")</f>
        <v/>
      </c>
      <c r="N151" s="71">
        <f>LN(C151)</f>
        <v/>
      </c>
      <c r="O151" s="49">
        <f>IF($H151=1,1,0)</f>
        <v/>
      </c>
      <c r="P151" s="49">
        <f>IF($H151=2,1,0)</f>
        <v/>
      </c>
      <c r="Q151" s="49">
        <f>IF($H151=3,1,0)</f>
        <v/>
      </c>
      <c r="R151" s="49">
        <f>IF($L151="","",$L151-2018)</f>
        <v/>
      </c>
      <c r="S151" s="49" t="str"/>
    </row>
    <row r="152">
      <c r="A152" s="49" t="inlineStr">
        <is>
          <t>TZA</t>
        </is>
      </c>
      <c r="B152" s="49" t="inlineStr">
        <is>
          <t>Tanzania</t>
        </is>
      </c>
      <c r="C152" s="69" t="n">
        <v>276</v>
      </c>
      <c r="D152" s="49" t="n">
        <v>2023</v>
      </c>
      <c r="E152" s="70" t="n">
        <v>3620.79345703125</v>
      </c>
      <c r="F152" s="49" t="n">
        <v>2023</v>
      </c>
      <c r="G152" s="71">
        <f>LN(E152)</f>
        <v/>
      </c>
      <c r="H152" s="49" t="n">
        <v>1</v>
      </c>
      <c r="I152" s="49" t="inlineStr">
        <is>
          <t>Electoral autocracy</t>
        </is>
      </c>
      <c r="J152" s="49" t="n">
        <v>2023</v>
      </c>
      <c r="K152" s="72" t="n">
        <v>37.6</v>
      </c>
      <c r="L152" s="49" t="n">
        <v>2022</v>
      </c>
      <c r="M152" s="54">
        <f>IF(K152="","Missing","Observed")</f>
        <v/>
      </c>
      <c r="N152" s="71">
        <f>LN(C152)</f>
        <v/>
      </c>
      <c r="O152" s="49">
        <f>IF($H152=1,1,0)</f>
        <v/>
      </c>
      <c r="P152" s="49">
        <f>IF($H152=2,1,0)</f>
        <v/>
      </c>
      <c r="Q152" s="49">
        <f>IF($H152=3,1,0)</f>
        <v/>
      </c>
      <c r="R152" s="49">
        <f>IF($L152="","",$L152-2018)</f>
        <v/>
      </c>
      <c r="S152" s="49" t="str"/>
    </row>
    <row r="153">
      <c r="A153" s="49" t="inlineStr">
        <is>
          <t>THA</t>
        </is>
      </c>
      <c r="B153" s="49" t="inlineStr">
        <is>
          <t>Thailand</t>
        </is>
      </c>
      <c r="C153" s="69" t="n">
        <v>34</v>
      </c>
      <c r="D153" s="49" t="n">
        <v>2023</v>
      </c>
      <c r="E153" s="70" t="n">
        <v>21245.2706771879</v>
      </c>
      <c r="F153" s="49" t="n">
        <v>2023</v>
      </c>
      <c r="G153" s="71">
        <f>LN(E153)</f>
        <v/>
      </c>
      <c r="H153" s="49" t="n">
        <v>1</v>
      </c>
      <c r="I153" s="49" t="inlineStr">
        <is>
          <t>Electoral autocracy</t>
        </is>
      </c>
      <c r="J153" s="49" t="n">
        <v>2023</v>
      </c>
      <c r="K153" s="72" t="n">
        <v>72.8</v>
      </c>
      <c r="L153" s="49" t="n">
        <v>2022</v>
      </c>
      <c r="M153" s="54">
        <f>IF(K153="","Missing","Observed")</f>
        <v/>
      </c>
      <c r="N153" s="71">
        <f>LN(C153)</f>
        <v/>
      </c>
      <c r="O153" s="49">
        <f>IF($H153=1,1,0)</f>
        <v/>
      </c>
      <c r="P153" s="49">
        <f>IF($H153=2,1,0)</f>
        <v/>
      </c>
      <c r="Q153" s="49">
        <f>IF($H153=3,1,0)</f>
        <v/>
      </c>
      <c r="R153" s="49">
        <f>IF($L153="","",$L153-2018)</f>
        <v/>
      </c>
      <c r="S153" s="49" t="str"/>
    </row>
    <row r="154">
      <c r="A154" s="49" t="inlineStr">
        <is>
          <t>TLS</t>
        </is>
      </c>
      <c r="B154" s="49" t="inlineStr">
        <is>
          <t>Timor-Leste</t>
        </is>
      </c>
      <c r="C154" s="69" t="n">
        <v>192</v>
      </c>
      <c r="D154" s="49" t="n">
        <v>2023</v>
      </c>
      <c r="E154" s="70" t="n">
        <v>4331.07792560386</v>
      </c>
      <c r="F154" s="49" t="n">
        <v>2023</v>
      </c>
      <c r="G154" s="71">
        <f>LN(E154)</f>
        <v/>
      </c>
      <c r="H154" s="49" t="n">
        <v>2</v>
      </c>
      <c r="I154" s="49" t="inlineStr">
        <is>
          <t>Electoral democracy</t>
        </is>
      </c>
      <c r="J154" s="49" t="n">
        <v>2023</v>
      </c>
      <c r="K154" s="72" t="n">
        <v>26</v>
      </c>
      <c r="L154" s="49" t="n">
        <v>2016</v>
      </c>
      <c r="M154" s="54">
        <f>IF(K154="","Missing","Observed")</f>
        <v/>
      </c>
      <c r="N154" s="71">
        <f>LN(C154)</f>
        <v/>
      </c>
      <c r="O154" s="49">
        <f>IF($H154=1,1,0)</f>
        <v/>
      </c>
      <c r="P154" s="49">
        <f>IF($H154=2,1,0)</f>
        <v/>
      </c>
      <c r="Q154" s="49">
        <f>IF($H154=3,1,0)</f>
        <v/>
      </c>
      <c r="R154" s="49">
        <f>IF($L154="","",$L154-2018)</f>
        <v/>
      </c>
      <c r="S154" s="49" t="str"/>
    </row>
    <row r="155">
      <c r="A155" s="49" t="inlineStr">
        <is>
          <t>TGO</t>
        </is>
      </c>
      <c r="B155" s="49" t="inlineStr">
        <is>
          <t>Togo</t>
        </is>
      </c>
      <c r="C155" s="69" t="n">
        <v>349</v>
      </c>
      <c r="D155" s="49" t="n">
        <v>2023</v>
      </c>
      <c r="E155" s="70" t="n">
        <v>3215.82300022488</v>
      </c>
      <c r="F155" s="49" t="n">
        <v>2023</v>
      </c>
      <c r="G155" s="71">
        <f>LN(E155)</f>
        <v/>
      </c>
      <c r="H155" s="49" t="n">
        <v>1</v>
      </c>
      <c r="I155" s="49" t="inlineStr">
        <is>
          <t>Electoral autocracy</t>
        </is>
      </c>
      <c r="J155" s="49" t="n">
        <v>2023</v>
      </c>
      <c r="K155" s="72" t="n">
        <v>23.8</v>
      </c>
      <c r="L155" s="49" t="n">
        <v>2017</v>
      </c>
      <c r="M155" s="54">
        <f>IF(K155="","Missing","Observed")</f>
        <v/>
      </c>
      <c r="N155" s="71">
        <f>LN(C155)</f>
        <v/>
      </c>
      <c r="O155" s="49">
        <f>IF($H155=1,1,0)</f>
        <v/>
      </c>
      <c r="P155" s="49">
        <f>IF($H155=2,1,0)</f>
        <v/>
      </c>
      <c r="Q155" s="49">
        <f>IF($H155=3,1,0)</f>
        <v/>
      </c>
      <c r="R155" s="49">
        <f>IF($L155="","",$L155-2018)</f>
        <v/>
      </c>
      <c r="S155" s="49" t="str"/>
    </row>
    <row r="156">
      <c r="A156" s="49" t="inlineStr">
        <is>
          <t>TTO</t>
        </is>
      </c>
      <c r="B156" s="49" t="inlineStr">
        <is>
          <t>Trinidad and Tobago</t>
        </is>
      </c>
      <c r="C156" s="69" t="n">
        <v>54</v>
      </c>
      <c r="D156" s="49" t="n">
        <v>2023</v>
      </c>
      <c r="E156" s="70" t="n">
        <v>31196.603554718</v>
      </c>
      <c r="F156" s="49" t="n">
        <v>2023</v>
      </c>
      <c r="G156" s="71">
        <f>LN(E156)</f>
        <v/>
      </c>
      <c r="H156" s="49" t="n">
        <v>3</v>
      </c>
      <c r="I156" s="49" t="inlineStr">
        <is>
          <t>Liberal democracy</t>
        </is>
      </c>
      <c r="J156" s="49" t="n">
        <v>2023</v>
      </c>
      <c r="K156" s="72" t="n">
        <v>36.5</v>
      </c>
      <c r="L156" s="49" t="n">
        <v>2022</v>
      </c>
      <c r="M156" s="54">
        <f>IF(K156="","Missing","Observed")</f>
        <v/>
      </c>
      <c r="N156" s="71">
        <f>LN(C156)</f>
        <v/>
      </c>
      <c r="O156" s="49">
        <f>IF($H156=1,1,0)</f>
        <v/>
      </c>
      <c r="P156" s="49">
        <f>IF($H156=2,1,0)</f>
        <v/>
      </c>
      <c r="Q156" s="49">
        <f>IF($H156=3,1,0)</f>
        <v/>
      </c>
      <c r="R156" s="49">
        <f>IF($L156="","",$L156-2018)</f>
        <v/>
      </c>
      <c r="S156" s="49" t="str"/>
    </row>
    <row r="157">
      <c r="A157" s="49" t="inlineStr">
        <is>
          <t>TUN</t>
        </is>
      </c>
      <c r="B157" s="49" t="inlineStr">
        <is>
          <t>Tunisia</t>
        </is>
      </c>
      <c r="C157" s="69" t="n">
        <v>36</v>
      </c>
      <c r="D157" s="49" t="n">
        <v>2023</v>
      </c>
      <c r="E157" s="70" t="n">
        <v>12650.9615158166</v>
      </c>
      <c r="F157" s="49" t="n">
        <v>2023</v>
      </c>
      <c r="G157" s="71">
        <f>LN(E157)</f>
        <v/>
      </c>
      <c r="H157" s="49" t="n">
        <v>1</v>
      </c>
      <c r="I157" s="49" t="inlineStr">
        <is>
          <t>Electoral autocracy</t>
        </is>
      </c>
      <c r="J157" s="49" t="n">
        <v>2023</v>
      </c>
      <c r="K157" s="72" t="n">
        <v>54</v>
      </c>
      <c r="L157" s="49" t="n">
        <v>2023</v>
      </c>
      <c r="M157" s="54">
        <f>IF(K157="","Missing","Observed")</f>
        <v/>
      </c>
      <c r="N157" s="71">
        <f>LN(C157)</f>
        <v/>
      </c>
      <c r="O157" s="49">
        <f>IF($H157=1,1,0)</f>
        <v/>
      </c>
      <c r="P157" s="49">
        <f>IF($H157=2,1,0)</f>
        <v/>
      </c>
      <c r="Q157" s="49">
        <f>IF($H157=3,1,0)</f>
        <v/>
      </c>
      <c r="R157" s="49">
        <f>IF($L157="","",$L157-2018)</f>
        <v/>
      </c>
      <c r="S157" s="49" t="str"/>
    </row>
    <row r="158">
      <c r="A158" s="49" t="inlineStr">
        <is>
          <t>TUR</t>
        </is>
      </c>
      <c r="B158" s="49" t="inlineStr">
        <is>
          <t>Turkiye</t>
        </is>
      </c>
      <c r="C158" s="69" t="n">
        <v>15</v>
      </c>
      <c r="D158" s="49" t="n">
        <v>2023</v>
      </c>
      <c r="E158" s="70" t="n">
        <v>35069.1701714685</v>
      </c>
      <c r="F158" s="49" t="n">
        <v>2023</v>
      </c>
      <c r="G158" s="71">
        <f>LN(E158)</f>
        <v/>
      </c>
      <c r="H158" s="49" t="n">
        <v>1</v>
      </c>
      <c r="I158" s="49" t="inlineStr">
        <is>
          <t>Electoral autocracy</t>
        </is>
      </c>
      <c r="J158" s="49" t="n">
        <v>2023</v>
      </c>
      <c r="K158" s="72" t="n">
        <v>69.8</v>
      </c>
      <c r="L158" s="49" t="n">
        <v>2018</v>
      </c>
      <c r="M158" s="54">
        <f>IF(K158="","Missing","Observed")</f>
        <v/>
      </c>
      <c r="N158" s="71">
        <f>LN(C158)</f>
        <v/>
      </c>
      <c r="O158" s="49">
        <f>IF($H158=1,1,0)</f>
        <v/>
      </c>
      <c r="P158" s="49">
        <f>IF($H158=2,1,0)</f>
        <v/>
      </c>
      <c r="Q158" s="49">
        <f>IF($H158=3,1,0)</f>
        <v/>
      </c>
      <c r="R158" s="49">
        <f>IF($L158="","",$L158-2018)</f>
        <v/>
      </c>
      <c r="S158" s="49" t="str"/>
    </row>
    <row r="159">
      <c r="A159" s="49" t="inlineStr">
        <is>
          <t>TKM</t>
        </is>
      </c>
      <c r="B159" s="49" t="inlineStr">
        <is>
          <t>Turkmenistan</t>
        </is>
      </c>
      <c r="C159" s="69" t="n">
        <v>5</v>
      </c>
      <c r="D159" s="49" t="n">
        <v>2023</v>
      </c>
      <c r="E159" s="70" t="n">
        <v>17685.8585929282</v>
      </c>
      <c r="F159" s="49" t="n">
        <v>2023</v>
      </c>
      <c r="G159" s="71">
        <f>LN(E159)</f>
        <v/>
      </c>
      <c r="H159" s="49" t="n">
        <v>0</v>
      </c>
      <c r="I159" s="49" t="inlineStr">
        <is>
          <t>Closed autocracy</t>
        </is>
      </c>
      <c r="J159" s="49" t="n">
        <v>2023</v>
      </c>
      <c r="K159" s="72" t="n">
        <v>49.6763641281299</v>
      </c>
      <c r="L159" s="49" t="n">
        <v>2019</v>
      </c>
      <c r="M159" s="54">
        <f>IF(K159="","Missing","Observed")</f>
        <v/>
      </c>
      <c r="N159" s="71">
        <f>LN(C159)</f>
        <v/>
      </c>
      <c r="O159" s="49">
        <f>IF($H159=1,1,0)</f>
        <v/>
      </c>
      <c r="P159" s="49">
        <f>IF($H159=2,1,0)</f>
        <v/>
      </c>
      <c r="Q159" s="49">
        <f>IF($H159=3,1,0)</f>
        <v/>
      </c>
      <c r="R159" s="49">
        <f>IF($L159="","",$L159-2018)</f>
        <v/>
      </c>
      <c r="S159" s="49" t="str"/>
    </row>
    <row r="160">
      <c r="A160" s="49" t="inlineStr">
        <is>
          <t>UGA</t>
        </is>
      </c>
      <c r="B160" s="49" t="inlineStr">
        <is>
          <t>Uganda</t>
        </is>
      </c>
      <c r="C160" s="69" t="n">
        <v>170</v>
      </c>
      <c r="D160" s="49" t="n">
        <v>2023</v>
      </c>
      <c r="E160" s="70" t="n">
        <v>2791.05576885861</v>
      </c>
      <c r="F160" s="49" t="n">
        <v>2023</v>
      </c>
      <c r="G160" s="71">
        <f>LN(E160)</f>
        <v/>
      </c>
      <c r="H160" s="49" t="n">
        <v>1</v>
      </c>
      <c r="I160" s="49" t="inlineStr">
        <is>
          <t>Electoral autocracy</t>
        </is>
      </c>
      <c r="J160" s="49" t="n">
        <v>2023</v>
      </c>
      <c r="K160" s="72" t="n">
        <v>43</v>
      </c>
      <c r="L160" s="49" t="n">
        <v>2022</v>
      </c>
      <c r="M160" s="54">
        <f>IF(K160="","Missing","Observed")</f>
        <v/>
      </c>
      <c r="N160" s="71">
        <f>LN(C160)</f>
        <v/>
      </c>
      <c r="O160" s="49">
        <f>IF($H160=1,1,0)</f>
        <v/>
      </c>
      <c r="P160" s="49">
        <f>IF($H160=2,1,0)</f>
        <v/>
      </c>
      <c r="Q160" s="49">
        <f>IF($H160=3,1,0)</f>
        <v/>
      </c>
      <c r="R160" s="49">
        <f>IF($L160="","",$L160-2018)</f>
        <v/>
      </c>
      <c r="S160" s="49" t="str"/>
    </row>
    <row r="161">
      <c r="A161" s="49" t="inlineStr">
        <is>
          <t>UKR</t>
        </is>
      </c>
      <c r="B161" s="49" t="inlineStr">
        <is>
          <t>Ukraine</t>
        </is>
      </c>
      <c r="C161" s="69" t="n">
        <v>15</v>
      </c>
      <c r="D161" s="49" t="n">
        <v>2023</v>
      </c>
      <c r="E161" s="70" t="n">
        <v>15916.9580078125</v>
      </c>
      <c r="F161" s="49" t="n">
        <v>2023</v>
      </c>
      <c r="G161" s="71">
        <f>LN(E161)</f>
        <v/>
      </c>
      <c r="H161" s="49" t="n">
        <v>1</v>
      </c>
      <c r="I161" s="49" t="inlineStr">
        <is>
          <t>Electoral autocracy</t>
        </is>
      </c>
      <c r="J161" s="49" t="n">
        <v>2023</v>
      </c>
      <c r="K161" s="72" t="n">
        <v>65.4588684</v>
      </c>
      <c r="L161" s="49" t="n">
        <v>2012</v>
      </c>
      <c r="M161" s="54">
        <f>IF(K161="","Missing","Observed")</f>
        <v/>
      </c>
      <c r="N161" s="71">
        <f>LN(C161)</f>
        <v/>
      </c>
      <c r="O161" s="49">
        <f>IF($H161=1,1,0)</f>
        <v/>
      </c>
      <c r="P161" s="49">
        <f>IF($H161=2,1,0)</f>
        <v/>
      </c>
      <c r="Q161" s="49">
        <f>IF($H161=3,1,0)</f>
        <v/>
      </c>
      <c r="R161" s="49">
        <f>IF($L161="","",$L161-2018)</f>
        <v/>
      </c>
      <c r="S161" s="49" t="str"/>
    </row>
    <row r="162">
      <c r="A162" s="49" t="inlineStr">
        <is>
          <t>ARE</t>
        </is>
      </c>
      <c r="B162" s="49" t="inlineStr">
        <is>
          <t>United Arab Emirates</t>
        </is>
      </c>
      <c r="C162" s="69" t="n">
        <v>3</v>
      </c>
      <c r="D162" s="49" t="n">
        <v>2023</v>
      </c>
      <c r="E162" s="70" t="n">
        <v>70239.8328337228</v>
      </c>
      <c r="F162" s="49" t="n">
        <v>2023</v>
      </c>
      <c r="G162" s="71">
        <f>LN(E162)</f>
        <v/>
      </c>
      <c r="H162" s="49" t="n">
        <v>0</v>
      </c>
      <c r="I162" s="49" t="inlineStr">
        <is>
          <t>Closed autocracy</t>
        </is>
      </c>
      <c r="J162" s="49" t="n">
        <v>2023</v>
      </c>
      <c r="K162" s="72" t="n"/>
      <c r="L162" s="49" t="n"/>
      <c r="M162" s="54">
        <f>IF(K162="","Missing","Observed")</f>
        <v/>
      </c>
      <c r="N162" s="71">
        <f>LN(C162)</f>
        <v/>
      </c>
      <c r="O162" s="49">
        <f>IF($H162=1,1,0)</f>
        <v/>
      </c>
      <c r="P162" s="49">
        <f>IF($H162=2,1,0)</f>
        <v/>
      </c>
      <c r="Q162" s="49">
        <f>IF($H162=3,1,0)</f>
        <v/>
      </c>
      <c r="R162" s="49">
        <f>IF($L162="","",$L162-2018)</f>
        <v/>
      </c>
      <c r="S162" s="49" t="str"/>
    </row>
    <row r="163">
      <c r="A163" s="49" t="inlineStr">
        <is>
          <t>GBR</t>
        </is>
      </c>
      <c r="B163" s="49" t="inlineStr">
        <is>
          <t>United Kingdom</t>
        </is>
      </c>
      <c r="C163" s="69" t="n">
        <v>8</v>
      </c>
      <c r="D163" s="49" t="n">
        <v>2023</v>
      </c>
      <c r="E163" s="70" t="n">
        <v>53423.4226338292</v>
      </c>
      <c r="F163" s="49" t="n">
        <v>2023</v>
      </c>
      <c r="G163" s="71">
        <f>LN(E163)</f>
        <v/>
      </c>
      <c r="H163" s="49" t="n">
        <v>3</v>
      </c>
      <c r="I163" s="49" t="inlineStr">
        <is>
          <t>Liberal democracy</t>
        </is>
      </c>
      <c r="J163" s="49" t="n">
        <v>2023</v>
      </c>
      <c r="K163" s="72" t="n">
        <v>76.09999999999999</v>
      </c>
      <c r="L163" s="49" t="n">
        <v>2012</v>
      </c>
      <c r="M163" s="54">
        <f>IF(K163="","Missing","Observed")</f>
        <v/>
      </c>
      <c r="N163" s="71">
        <f>LN(C163)</f>
        <v/>
      </c>
      <c r="O163" s="49">
        <f>IF($H163=1,1,0)</f>
        <v/>
      </c>
      <c r="P163" s="49">
        <f>IF($H163=2,1,0)</f>
        <v/>
      </c>
      <c r="Q163" s="49">
        <f>IF($H163=3,1,0)</f>
        <v/>
      </c>
      <c r="R163" s="49">
        <f>IF($L163="","",$L163-2018)</f>
        <v/>
      </c>
      <c r="S163" s="49" t="str"/>
    </row>
    <row r="164">
      <c r="A164" s="49" t="inlineStr">
        <is>
          <t>USA</t>
        </is>
      </c>
      <c r="B164" s="49" t="inlineStr">
        <is>
          <t>United States</t>
        </is>
      </c>
      <c r="C164" s="69" t="n">
        <v>17</v>
      </c>
      <c r="D164" s="49" t="n">
        <v>2023</v>
      </c>
      <c r="E164" s="70" t="n">
        <v>74351.6718197429</v>
      </c>
      <c r="F164" s="49" t="n">
        <v>2023</v>
      </c>
      <c r="G164" s="71">
        <f>LN(E164)</f>
        <v/>
      </c>
      <c r="H164" s="49" t="n">
        <v>3</v>
      </c>
      <c r="I164" s="49" t="inlineStr">
        <is>
          <t>Liberal democracy</t>
        </is>
      </c>
      <c r="J164" s="49" t="n">
        <v>2023</v>
      </c>
      <c r="K164" s="72" t="n">
        <v>73.90000000000001</v>
      </c>
      <c r="L164" s="49" t="n">
        <v>2019</v>
      </c>
      <c r="M164" s="54">
        <f>IF(K164="","Missing","Observed")</f>
        <v/>
      </c>
      <c r="N164" s="71">
        <f>LN(C164)</f>
        <v/>
      </c>
      <c r="O164" s="49">
        <f>IF($H164=1,1,0)</f>
        <v/>
      </c>
      <c r="P164" s="49">
        <f>IF($H164=2,1,0)</f>
        <v/>
      </c>
      <c r="Q164" s="49">
        <f>IF($H164=3,1,0)</f>
        <v/>
      </c>
      <c r="R164" s="49">
        <f>IF($L164="","",$L164-2018)</f>
        <v/>
      </c>
      <c r="S164" s="49" t="str"/>
    </row>
    <row r="165">
      <c r="A165" s="49" t="inlineStr">
        <is>
          <t>URY</t>
        </is>
      </c>
      <c r="B165" s="49" t="inlineStr">
        <is>
          <t>Uruguay</t>
        </is>
      </c>
      <c r="C165" s="69" t="n">
        <v>15</v>
      </c>
      <c r="D165" s="49" t="n">
        <v>2023</v>
      </c>
      <c r="E165" s="70" t="n">
        <v>31100.9696889882</v>
      </c>
      <c r="F165" s="49" t="n">
        <v>2023</v>
      </c>
      <c r="G165" s="71">
        <f>LN(E165)</f>
        <v/>
      </c>
      <c r="H165" s="49" t="n">
        <v>3</v>
      </c>
      <c r="I165" s="49" t="inlineStr">
        <is>
          <t>Liberal democracy</t>
        </is>
      </c>
      <c r="J165" s="49" t="n">
        <v>2023</v>
      </c>
      <c r="K165" s="72" t="n"/>
      <c r="L165" s="49" t="n"/>
      <c r="M165" s="54">
        <f>IF(K165="","Missing","Observed")</f>
        <v/>
      </c>
      <c r="N165" s="71">
        <f>LN(C165)</f>
        <v/>
      </c>
      <c r="O165" s="49">
        <f>IF($H165=1,1,0)</f>
        <v/>
      </c>
      <c r="P165" s="49">
        <f>IF($H165=2,1,0)</f>
        <v/>
      </c>
      <c r="Q165" s="49">
        <f>IF($H165=3,1,0)</f>
        <v/>
      </c>
      <c r="R165" s="49">
        <f>IF($L165="","",$L165-2018)</f>
        <v/>
      </c>
      <c r="S165" s="49" t="str"/>
    </row>
    <row r="166">
      <c r="A166" s="49" t="inlineStr">
        <is>
          <t>UZB</t>
        </is>
      </c>
      <c r="B166" s="49" t="inlineStr">
        <is>
          <t>Uzbekistan</t>
        </is>
      </c>
      <c r="C166" s="69" t="n">
        <v>26</v>
      </c>
      <c r="D166" s="49" t="n">
        <v>2023</v>
      </c>
      <c r="E166" s="70" t="n">
        <v>10514.0955721447</v>
      </c>
      <c r="F166" s="49" t="n">
        <v>2023</v>
      </c>
      <c r="G166" s="71">
        <f>LN(E166)</f>
        <v/>
      </c>
      <c r="H166" s="49" t="n">
        <v>0</v>
      </c>
      <c r="I166" s="49" t="inlineStr">
        <is>
          <t>Closed autocracy</t>
        </is>
      </c>
      <c r="J166" s="49" t="n">
        <v>2023</v>
      </c>
      <c r="K166" s="72" t="n">
        <v>58.8</v>
      </c>
      <c r="L166" s="49" t="n">
        <v>2022</v>
      </c>
      <c r="M166" s="54">
        <f>IF(K166="","Missing","Observed")</f>
        <v/>
      </c>
      <c r="N166" s="71">
        <f>LN(C166)</f>
        <v/>
      </c>
      <c r="O166" s="49">
        <f>IF($H166=1,1,0)</f>
        <v/>
      </c>
      <c r="P166" s="49">
        <f>IF($H166=2,1,0)</f>
        <v/>
      </c>
      <c r="Q166" s="49">
        <f>IF($H166=3,1,0)</f>
        <v/>
      </c>
      <c r="R166" s="49">
        <f>IF($L166="","",$L166-2018)</f>
        <v/>
      </c>
      <c r="S166" s="49" t="str"/>
    </row>
    <row r="167">
      <c r="A167" s="49" t="inlineStr">
        <is>
          <t>VUT</t>
        </is>
      </c>
      <c r="B167" s="49" t="inlineStr">
        <is>
          <t>Vanuatu</t>
        </is>
      </c>
      <c r="C167" s="69" t="n">
        <v>100</v>
      </c>
      <c r="D167" s="49" t="n">
        <v>2023</v>
      </c>
      <c r="E167" s="70" t="n">
        <v>3782.82649029418</v>
      </c>
      <c r="F167" s="49" t="n">
        <v>2023</v>
      </c>
      <c r="G167" s="71">
        <f>LN(E167)</f>
        <v/>
      </c>
      <c r="H167" s="49" t="n">
        <v>2</v>
      </c>
      <c r="I167" s="49" t="inlineStr">
        <is>
          <t>Electoral democracy</t>
        </is>
      </c>
      <c r="J167" s="49" t="n">
        <v>2023</v>
      </c>
      <c r="K167" s="72" t="n">
        <v>49</v>
      </c>
      <c r="L167" s="49" t="n">
        <v>2013</v>
      </c>
      <c r="M167" s="54">
        <f>IF(K167="","Missing","Observed")</f>
        <v/>
      </c>
      <c r="N167" s="71">
        <f>LN(C167)</f>
        <v/>
      </c>
      <c r="O167" s="49">
        <f>IF($H167=1,1,0)</f>
        <v/>
      </c>
      <c r="P167" s="49">
        <f>IF($H167=2,1,0)</f>
        <v/>
      </c>
      <c r="Q167" s="49">
        <f>IF($H167=3,1,0)</f>
        <v/>
      </c>
      <c r="R167" s="49">
        <f>IF($L167="","",$L167-2018)</f>
        <v/>
      </c>
      <c r="S167" s="49" t="str"/>
    </row>
    <row r="168">
      <c r="A168" s="49" t="inlineStr">
        <is>
          <t>VNM</t>
        </is>
      </c>
      <c r="B168" s="49" t="inlineStr">
        <is>
          <t>Viet Nam</t>
        </is>
      </c>
      <c r="C168" s="69" t="n">
        <v>48</v>
      </c>
      <c r="D168" s="49" t="n">
        <v>2023</v>
      </c>
      <c r="E168" s="70" t="n">
        <v>13534.7997843016</v>
      </c>
      <c r="F168" s="49" t="n">
        <v>2023</v>
      </c>
      <c r="G168" s="71">
        <f>LN(E168)</f>
        <v/>
      </c>
      <c r="H168" s="49" t="n">
        <v>0</v>
      </c>
      <c r="I168" s="49" t="inlineStr">
        <is>
          <t>Closed autocracy</t>
        </is>
      </c>
      <c r="J168" s="49" t="n">
        <v>2023</v>
      </c>
      <c r="K168" s="72" t="n">
        <v>72.8</v>
      </c>
      <c r="L168" s="49" t="n">
        <v>2021</v>
      </c>
      <c r="M168" s="54">
        <f>IF(K168="","Missing","Observed")</f>
        <v/>
      </c>
      <c r="N168" s="71">
        <f>LN(C168)</f>
        <v/>
      </c>
      <c r="O168" s="49">
        <f>IF($H168=1,1,0)</f>
        <v/>
      </c>
      <c r="P168" s="49">
        <f>IF($H168=2,1,0)</f>
        <v/>
      </c>
      <c r="Q168" s="49">
        <f>IF($H168=3,1,0)</f>
        <v/>
      </c>
      <c r="R168" s="49">
        <f>IF($L168="","",$L168-2018)</f>
        <v/>
      </c>
      <c r="S168" s="49" t="str"/>
    </row>
    <row r="169">
      <c r="A169" s="49" t="inlineStr">
        <is>
          <t>PSE</t>
        </is>
      </c>
      <c r="B169" s="49" t="inlineStr">
        <is>
          <t>West Bank and Gaza</t>
        </is>
      </c>
      <c r="C169" s="69" t="n">
        <v>16</v>
      </c>
      <c r="D169" s="49" t="n">
        <v>2023</v>
      </c>
      <c r="E169" s="70" t="n">
        <v>5562.42442563953</v>
      </c>
      <c r="F169" s="49" t="n">
        <v>2023</v>
      </c>
      <c r="G169" s="71">
        <f>LN(E169)</f>
        <v/>
      </c>
      <c r="H169" s="49" t="n"/>
      <c r="I169" s="49" t="inlineStr">
        <is>
          <t>Not available</t>
        </is>
      </c>
      <c r="J169" s="49" t="n"/>
      <c r="K169" s="72" t="n">
        <v>57.3</v>
      </c>
      <c r="L169" s="49" t="n">
        <v>2020</v>
      </c>
      <c r="M169" s="54">
        <f>IF(K169="","Missing","Observed")</f>
        <v/>
      </c>
      <c r="N169" s="71">
        <f>LN(C169)</f>
        <v/>
      </c>
      <c r="O169" s="49">
        <f>IF($H169=1,1,0)</f>
        <v/>
      </c>
      <c r="P169" s="49">
        <f>IF($H169=2,1,0)</f>
        <v/>
      </c>
      <c r="Q169" s="49">
        <f>IF($H169=3,1,0)</f>
        <v/>
      </c>
      <c r="R169" s="49">
        <f>IF($L169="","",$L169-2018)</f>
        <v/>
      </c>
      <c r="S169" s="49" t="inlineStr">
        <is>
          <t>OWID 2023 reports Palestine/Gaza and Palestine/West Bank separately; no unified PSE regime value.</t>
        </is>
      </c>
    </row>
    <row r="170">
      <c r="A170" s="49" t="inlineStr">
        <is>
          <t>ZMB</t>
        </is>
      </c>
      <c r="B170" s="49" t="inlineStr">
        <is>
          <t>Zambia</t>
        </is>
      </c>
      <c r="C170" s="69" t="n">
        <v>85</v>
      </c>
      <c r="D170" s="49" t="n">
        <v>2023</v>
      </c>
      <c r="E170" s="70" t="n">
        <v>3673.4841969922</v>
      </c>
      <c r="F170" s="49" t="n">
        <v>2023</v>
      </c>
      <c r="G170" s="71">
        <f>LN(E170)</f>
        <v/>
      </c>
      <c r="H170" s="49" t="n">
        <v>2</v>
      </c>
      <c r="I170" s="49" t="inlineStr">
        <is>
          <t>Electoral democracy</t>
        </is>
      </c>
      <c r="J170" s="49" t="n">
        <v>2023</v>
      </c>
      <c r="K170" s="72" t="n">
        <v>49.6</v>
      </c>
      <c r="L170" s="49" t="n">
        <v>2018</v>
      </c>
      <c r="M170" s="54">
        <f>IF(K170="","Missing","Observed")</f>
        <v/>
      </c>
      <c r="N170" s="71">
        <f>LN(C170)</f>
        <v/>
      </c>
      <c r="O170" s="49">
        <f>IF($H170=1,1,0)</f>
        <v/>
      </c>
      <c r="P170" s="49">
        <f>IF($H170=2,1,0)</f>
        <v/>
      </c>
      <c r="Q170" s="49">
        <f>IF($H170=3,1,0)</f>
        <v/>
      </c>
      <c r="R170" s="49">
        <f>IF($L170="","",$L170-2018)</f>
        <v/>
      </c>
      <c r="S170" s="49" t="str"/>
    </row>
    <row r="171">
      <c r="A171" s="49" t="inlineStr">
        <is>
          <t>ZWE</t>
        </is>
      </c>
      <c r="B171" s="49" t="inlineStr">
        <is>
          <t>Zimbabwe</t>
        </is>
      </c>
      <c r="C171" s="69" t="n">
        <v>358</v>
      </c>
      <c r="D171" s="49" t="n">
        <v>2023</v>
      </c>
      <c r="E171" s="70" t="n">
        <v>5218.04526596398</v>
      </c>
      <c r="F171" s="49" t="n">
        <v>2023</v>
      </c>
      <c r="G171" s="71">
        <f>LN(E171)</f>
        <v/>
      </c>
      <c r="H171" s="49" t="n">
        <v>1</v>
      </c>
      <c r="I171" s="49" t="inlineStr">
        <is>
          <t>Electoral autocracy</t>
        </is>
      </c>
      <c r="J171" s="49" t="n">
        <v>2023</v>
      </c>
      <c r="K171" s="72" t="n">
        <v>66.8</v>
      </c>
      <c r="L171" s="49" t="n">
        <v>2015</v>
      </c>
      <c r="M171" s="54">
        <f>IF(K171="","Missing","Observed")</f>
        <v/>
      </c>
      <c r="N171" s="71">
        <f>LN(C171)</f>
        <v/>
      </c>
      <c r="O171" s="49">
        <f>IF($H171=1,1,0)</f>
        <v/>
      </c>
      <c r="P171" s="49">
        <f>IF($H171=2,1,0)</f>
        <v/>
      </c>
      <c r="Q171" s="49">
        <f>IF($H171=3,1,0)</f>
        <v/>
      </c>
      <c r="R171" s="49">
        <f>IF($L171="","",$L171-2018)</f>
        <v/>
      </c>
      <c r="S171" s="49" t="str"/>
    </row>
  </sheetData>
  <mergeCells count="2">
    <mergeCell ref="A2:Q2"/>
    <mergeCell ref="A1:Q1"/>
  </mergeCells>
  <pageMargins left="0.7" right="0.7" top="0.75" bottom="0.75" header="0.3" footer="0.3"/>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Q11"/>
  <sheetViews>
    <sheetView showGridLines="1" workbookViewId="0">
      <selection activeCell="A1" sqref="A1"/>
    </sheetView>
  </sheetViews>
  <sheetFormatPr baseColWidth="8" defaultRowHeight="15"/>
  <cols>
    <col width="36" customWidth="1" min="1" max="1"/>
    <col width="10" customWidth="1" min="2" max="2"/>
    <col width="14" customWidth="1" min="3" max="3"/>
    <col width="14" customWidth="1" min="4" max="4"/>
    <col width="14" customWidth="1" min="5" max="5"/>
    <col width="14" customWidth="1" min="6" max="6"/>
    <col width="14" customWidth="1" min="7" max="7"/>
    <col width="14" customWidth="1" min="8" max="8"/>
    <col width="18" customWidth="1" min="9" max="9"/>
  </cols>
  <sheetData>
    <row r="1" ht="30" customHeight="1">
      <c r="A1" s="42" t="inlineStr">
        <is>
          <t>描述统计</t>
        </is>
      </c>
    </row>
    <row r="2" ht="32" customHeight="1">
      <c r="A2" s="44" t="inlineStr">
        <is>
          <t>所有指标直接引用“跨国底稿”；四分位数采用QUARTILE.INC，SD为样本标准差。</t>
        </is>
      </c>
    </row>
    <row r="3">
      <c r="A3" s="43" t="n"/>
      <c r="B3" s="43" t="n"/>
      <c r="C3" s="43" t="n"/>
      <c r="D3" s="43" t="n"/>
      <c r="E3" s="43" t="n"/>
      <c r="F3" s="43" t="n"/>
      <c r="G3" s="43" t="n"/>
      <c r="H3" s="43" t="n"/>
      <c r="I3" s="43" t="n"/>
    </row>
    <row r="4" ht="32" customHeight="1">
      <c r="A4" s="46" t="inlineStr">
        <is>
          <t>变量</t>
        </is>
      </c>
      <c r="B4" s="46" t="inlineStr">
        <is>
          <t>n</t>
        </is>
      </c>
      <c r="C4" s="46" t="inlineStr">
        <is>
          <t>均值</t>
        </is>
      </c>
      <c r="D4" s="46" t="inlineStr">
        <is>
          <t>SD</t>
        </is>
      </c>
      <c r="E4" s="46" t="inlineStr">
        <is>
          <t>中位数</t>
        </is>
      </c>
      <c r="F4" s="46" t="inlineStr">
        <is>
          <t>IQR</t>
        </is>
      </c>
      <c r="G4" s="46" t="inlineStr">
        <is>
          <t>最小值</t>
        </is>
      </c>
      <c r="H4" s="46" t="inlineStr">
        <is>
          <t>最大值</t>
        </is>
      </c>
      <c r="I4" s="46" t="inlineStr">
        <is>
          <t>数据列</t>
        </is>
      </c>
    </row>
    <row r="5">
      <c r="A5" s="48" t="inlineStr">
        <is>
          <t>MMR per 100,000 live births</t>
        </is>
      </c>
      <c r="B5" s="73">
        <f>COUNT('跨国底稿'!$C$5:$C$171)</f>
        <v/>
      </c>
      <c r="C5" s="74">
        <f>AVERAGE('跨国底稿'!$C$5:$C$171)</f>
        <v/>
      </c>
      <c r="D5" s="74">
        <f>STDEV.S('跨国底稿'!$C$5:$C$171)</f>
        <v/>
      </c>
      <c r="E5" s="74">
        <f>MEDIAN('跨国底稿'!$C$5:$C$171)</f>
        <v/>
      </c>
      <c r="F5" s="74">
        <f>QUARTILE.INC('跨国底稿'!$C$5:$C$171,3)-QUARTILE.INC('跨国底稿'!$C$5:$C$171,1)</f>
        <v/>
      </c>
      <c r="G5" s="74">
        <f>MIN('跨国底稿'!$C$5:$C$171)</f>
        <v/>
      </c>
      <c r="H5" s="74">
        <f>MAX('跨国底稿'!$C$5:$C$171)</f>
        <v/>
      </c>
      <c r="I5" s="48" t="inlineStr">
        <is>
          <t>mmr</t>
        </is>
      </c>
    </row>
    <row r="6">
      <c r="A6" s="48" t="inlineStr">
        <is>
          <t>log(MMR)</t>
        </is>
      </c>
      <c r="B6" s="73">
        <f>COUNT('跨国底稿'!$N$5:$N$171)</f>
        <v/>
      </c>
      <c r="C6" s="74">
        <f>AVERAGE('跨国底稿'!$N$5:$N$171)</f>
        <v/>
      </c>
      <c r="D6" s="74">
        <f>STDEV.S('跨国底稿'!$N$5:$N$171)</f>
        <v/>
      </c>
      <c r="E6" s="74">
        <f>MEDIAN('跨国底稿'!$N$5:$N$171)</f>
        <v/>
      </c>
      <c r="F6" s="74">
        <f>QUARTILE.INC('跨国底稿'!$N$5:$N$171,3)-QUARTILE.INC('跨国底稿'!$N$5:$N$171,1)</f>
        <v/>
      </c>
      <c r="G6" s="74">
        <f>MIN('跨国底稿'!$N$5:$N$171)</f>
        <v/>
      </c>
      <c r="H6" s="74">
        <f>MAX('跨国底稿'!$N$5:$N$171)</f>
        <v/>
      </c>
      <c r="I6" s="48" t="inlineStr">
        <is>
          <t>log_mmr</t>
        </is>
      </c>
    </row>
    <row r="7">
      <c r="A7" s="48" t="inlineStr">
        <is>
          <t>GDP per capita, PPP, constant 2021 intl $</t>
        </is>
      </c>
      <c r="B7" s="73">
        <f>COUNT('跨国底稿'!$E$5:$E$171)</f>
        <v/>
      </c>
      <c r="C7" s="74">
        <f>AVERAGE('跨国底稿'!$E$5:$E$171)</f>
        <v/>
      </c>
      <c r="D7" s="74">
        <f>STDEV.S('跨国底稿'!$E$5:$E$171)</f>
        <v/>
      </c>
      <c r="E7" s="74">
        <f>MEDIAN('跨国底稿'!$E$5:$E$171)</f>
        <v/>
      </c>
      <c r="F7" s="74">
        <f>QUARTILE.INC('跨国底稿'!$E$5:$E$171,3)-QUARTILE.INC('跨国底稿'!$E$5:$E$171,1)</f>
        <v/>
      </c>
      <c r="G7" s="74">
        <f>MIN('跨国底稿'!$E$5:$E$171)</f>
        <v/>
      </c>
      <c r="H7" s="74">
        <f>MAX('跨国底稿'!$E$5:$E$171)</f>
        <v/>
      </c>
      <c r="I7" s="48" t="inlineStr">
        <is>
          <t>gdp_ppp_constant_2021</t>
        </is>
      </c>
    </row>
    <row r="8">
      <c r="A8" s="48" t="inlineStr">
        <is>
          <t>log(GDP per capita)</t>
        </is>
      </c>
      <c r="B8" s="73">
        <f>COUNT('跨国底稿'!$G$5:$G$171)</f>
        <v/>
      </c>
      <c r="C8" s="74">
        <f>AVERAGE('跨国底稿'!$G$5:$G$171)</f>
        <v/>
      </c>
      <c r="D8" s="74">
        <f>STDEV.S('跨国底稿'!$G$5:$G$171)</f>
        <v/>
      </c>
      <c r="E8" s="74">
        <f>MEDIAN('跨国底稿'!$G$5:$G$171)</f>
        <v/>
      </c>
      <c r="F8" s="74">
        <f>QUARTILE.INC('跨国底稿'!$G$5:$G$171,3)-QUARTILE.INC('跨国底稿'!$G$5:$G$171,1)</f>
        <v/>
      </c>
      <c r="G8" s="74">
        <f>MIN('跨国底稿'!$G$5:$G$171)</f>
        <v/>
      </c>
      <c r="H8" s="74">
        <f>MAX('跨国底稿'!$G$5:$G$171)</f>
        <v/>
      </c>
      <c r="I8" s="48" t="inlineStr">
        <is>
          <t>log_gdp</t>
        </is>
      </c>
    </row>
    <row r="9">
      <c r="A9" s="48" t="inlineStr">
        <is>
          <t>Political regime code (0-3)</t>
        </is>
      </c>
      <c r="B9" s="73">
        <f>COUNT('跨国底稿'!$H$5:$H$171)</f>
        <v/>
      </c>
      <c r="C9" s="74">
        <f>AVERAGE('跨国底稿'!$H$5:$H$171)</f>
        <v/>
      </c>
      <c r="D9" s="74">
        <f>STDEV.S('跨国底稿'!$H$5:$H$171)</f>
        <v/>
      </c>
      <c r="E9" s="74">
        <f>MEDIAN('跨国底稿'!$H$5:$H$171)</f>
        <v/>
      </c>
      <c r="F9" s="74">
        <f>QUARTILE.INC('跨国底稿'!$H$5:$H$171,3)-QUARTILE.INC('跨国底稿'!$H$5:$H$171,1)</f>
        <v/>
      </c>
      <c r="G9" s="74">
        <f>MIN('跨国底稿'!$H$5:$H$171)</f>
        <v/>
      </c>
      <c r="H9" s="74">
        <f>MAX('跨国底稿'!$H$5:$H$171)</f>
        <v/>
      </c>
      <c r="I9" s="48" t="inlineStr">
        <is>
          <t>regime_code</t>
        </is>
      </c>
    </row>
    <row r="10">
      <c r="A10" s="48" t="inlineStr">
        <is>
          <t>Contraceptive prevalence, any method (%)</t>
        </is>
      </c>
      <c r="B10" s="73">
        <f>COUNT('跨国底稿'!$K$5:$K$171)</f>
        <v/>
      </c>
      <c r="C10" s="74">
        <f>AVERAGE('跨国底稿'!$K$5:$K$171)</f>
        <v/>
      </c>
      <c r="D10" s="74">
        <f>STDEV.S('跨国底稿'!$K$5:$K$171)</f>
        <v/>
      </c>
      <c r="E10" s="74">
        <f>MEDIAN('跨国底稿'!$K$5:$K$171)</f>
        <v/>
      </c>
      <c r="F10" s="74">
        <f>QUARTILE.INC('跨国底稿'!$K$5:$K$171,3)-QUARTILE.INC('跨国底稿'!$K$5:$K$171,1)</f>
        <v/>
      </c>
      <c r="G10" s="74">
        <f>MIN('跨国底稿'!$K$5:$K$171)</f>
        <v/>
      </c>
      <c r="H10" s="74">
        <f>MAX('跨国底稿'!$K$5:$K$171)</f>
        <v/>
      </c>
      <c r="I10" s="48" t="inlineStr">
        <is>
          <t>cpr</t>
        </is>
      </c>
    </row>
    <row r="11">
      <c r="A11" s="48" t="inlineStr">
        <is>
          <t>CPR observation year</t>
        </is>
      </c>
      <c r="B11" s="73">
        <f>COUNT('跨国底稿'!$L$5:$L$171)</f>
        <v/>
      </c>
      <c r="C11" s="74">
        <f>AVERAGE('跨国底稿'!$L$5:$L$171)</f>
        <v/>
      </c>
      <c r="D11" s="74">
        <f>STDEV.S('跨国底稿'!$L$5:$L$171)</f>
        <v/>
      </c>
      <c r="E11" s="74">
        <f>MEDIAN('跨国底稿'!$L$5:$L$171)</f>
        <v/>
      </c>
      <c r="F11" s="74">
        <f>QUARTILE.INC('跨国底稿'!$L$5:$L$171,3)-QUARTILE.INC('跨国底稿'!$L$5:$L$171,1)</f>
        <v/>
      </c>
      <c r="G11" s="74">
        <f>MIN('跨国底稿'!$L$5:$L$171)</f>
        <v/>
      </c>
      <c r="H11" s="74">
        <f>MAX('跨国底稿'!$L$5:$L$171)</f>
        <v/>
      </c>
      <c r="I11" s="48" t="inlineStr">
        <is>
          <t>cpr_year</t>
        </is>
      </c>
    </row>
  </sheetData>
  <mergeCells count="2">
    <mergeCell ref="A2:Q2"/>
    <mergeCell ref="A1:Q1"/>
  </mergeCells>
  <pageMargins left="0.7" right="0.7" top="0.75" bottom="0.75" header="0.3" footer="0.3"/>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Q40"/>
  <sheetViews>
    <sheetView showGridLines="1" workbookViewId="0">
      <selection activeCell="A1" sqref="A1"/>
    </sheetView>
  </sheetViews>
  <sheetFormatPr baseColWidth="8" defaultRowHeight="15"/>
  <cols>
    <col width="12" customWidth="1" min="1" max="1"/>
    <col width="28" customWidth="1" min="2" max="2"/>
    <col width="16" customWidth="1" min="3" max="3"/>
    <col width="28" customWidth="1" min="4" max="4"/>
    <col width="48" customWidth="1" min="5" max="5"/>
  </cols>
  <sheetData>
    <row r="1" ht="30" customHeight="1">
      <c r="A1" s="42" t="inlineStr">
        <is>
          <t>CPR缺失分析</t>
        </is>
      </c>
    </row>
    <row r="2" ht="32" customHeight="1">
      <c r="A2" s="44" t="inlineStr">
        <is>
          <t>按政治体制类别统计；PSE因统一政治体制缺失，不纳入分组率。自由民主组缺失集中是主要选择偏倚风险。</t>
        </is>
      </c>
    </row>
    <row r="3">
      <c r="A3" s="43" t="n"/>
      <c r="B3" s="43" t="n"/>
      <c r="C3" s="43" t="n"/>
      <c r="D3" s="43" t="n"/>
      <c r="E3" s="43" t="n"/>
      <c r="F3" s="43" t="n"/>
    </row>
    <row r="4" ht="32" customHeight="1">
      <c r="A4" s="46" t="inlineStr">
        <is>
          <t>政治体制代码</t>
        </is>
      </c>
      <c r="B4" s="46" t="inlineStr">
        <is>
          <t>政治体制类别</t>
        </is>
      </c>
      <c r="C4" s="46" t="inlineStr">
        <is>
          <t>总数</t>
        </is>
      </c>
      <c r="D4" s="46" t="inlineStr">
        <is>
          <t>CPR观测数</t>
        </is>
      </c>
      <c r="E4" s="46" t="inlineStr">
        <is>
          <t>CPR缺失数</t>
        </is>
      </c>
      <c r="F4" s="46" t="inlineStr">
        <is>
          <t>缺失率</t>
        </is>
      </c>
    </row>
    <row r="5">
      <c r="A5" s="48" t="n">
        <v>0</v>
      </c>
      <c r="B5" s="48" t="inlineStr">
        <is>
          <t>Closed autocracy</t>
        </is>
      </c>
      <c r="C5" s="48">
        <f>COUNTIF('跨国底稿'!$H$5:$H$171,A5)</f>
        <v/>
      </c>
      <c r="D5" s="48">
        <f>COUNTIFS('跨国底稿'!$H$5:$H$171,A5,'跨国底稿'!$M$5:$M$171,"Observed")</f>
        <v/>
      </c>
      <c r="E5" s="48">
        <f>COUNTIFS('跨国底稿'!$H$5:$H$171,A5,'跨国底稿'!$M$5:$M$171,"Missing")</f>
        <v/>
      </c>
      <c r="F5" s="75">
        <f>IFERROR(E5/C5,"")</f>
        <v/>
      </c>
    </row>
    <row r="6">
      <c r="A6" s="48" t="n">
        <v>1</v>
      </c>
      <c r="B6" s="48" t="inlineStr">
        <is>
          <t>Electoral autocracy</t>
        </is>
      </c>
      <c r="C6" s="48">
        <f>COUNTIF('跨国底稿'!$H$5:$H$171,A6)</f>
        <v/>
      </c>
      <c r="D6" s="48">
        <f>COUNTIFS('跨国底稿'!$H$5:$H$171,A6,'跨国底稿'!$M$5:$M$171,"Observed")</f>
        <v/>
      </c>
      <c r="E6" s="48">
        <f>COUNTIFS('跨国底稿'!$H$5:$H$171,A6,'跨国底稿'!$M$5:$M$171,"Missing")</f>
        <v/>
      </c>
      <c r="F6" s="75">
        <f>IFERROR(E6/C6,"")</f>
        <v/>
      </c>
    </row>
    <row r="7">
      <c r="A7" s="48" t="n">
        <v>2</v>
      </c>
      <c r="B7" s="48" t="inlineStr">
        <is>
          <t>Electoral democracy</t>
        </is>
      </c>
      <c r="C7" s="48">
        <f>COUNTIF('跨国底稿'!$H$5:$H$171,A7)</f>
        <v/>
      </c>
      <c r="D7" s="48">
        <f>COUNTIFS('跨国底稿'!$H$5:$H$171,A7,'跨国底稿'!$M$5:$M$171,"Observed")</f>
        <v/>
      </c>
      <c r="E7" s="48">
        <f>COUNTIFS('跨国底稿'!$H$5:$H$171,A7,'跨国底稿'!$M$5:$M$171,"Missing")</f>
        <v/>
      </c>
      <c r="F7" s="75">
        <f>IFERROR(E7/C7,"")</f>
        <v/>
      </c>
    </row>
    <row r="8">
      <c r="A8" s="48" t="n">
        <v>3</v>
      </c>
      <c r="B8" s="48" t="inlineStr">
        <is>
          <t>Liberal democracy</t>
        </is>
      </c>
      <c r="C8" s="48">
        <f>COUNTIF('跨国底稿'!$H$5:$H$171,A8)</f>
        <v/>
      </c>
      <c r="D8" s="48">
        <f>COUNTIFS('跨国底稿'!$H$5:$H$171,A8,'跨国底稿'!$M$5:$M$171,"Observed")</f>
        <v/>
      </c>
      <c r="E8" s="48">
        <f>COUNTIFS('跨国底稿'!$H$5:$H$171,A8,'跨国底稿'!$M$5:$M$171,"Missing")</f>
        <v/>
      </c>
      <c r="F8" s="75">
        <f>IFERROR(E8/C8,"")</f>
        <v/>
      </c>
    </row>
    <row r="9">
      <c r="A9" s="43" t="n"/>
      <c r="B9" s="43" t="n"/>
      <c r="C9" s="43" t="n"/>
      <c r="D9" s="43" t="n"/>
      <c r="E9" s="43" t="n"/>
      <c r="F9" s="43" t="n"/>
    </row>
    <row r="10">
      <c r="A10" s="43" t="n"/>
      <c r="B10" s="43" t="n"/>
      <c r="C10" s="43" t="n"/>
      <c r="D10" s="43" t="n"/>
      <c r="E10" s="43" t="n"/>
      <c r="F10" s="43" t="n"/>
    </row>
    <row r="11">
      <c r="A11" s="58" t="inlineStr">
        <is>
          <t>CPR缺失国家清单</t>
        </is>
      </c>
      <c r="F11" s="43" t="n"/>
    </row>
    <row r="12" ht="32" customHeight="1">
      <c r="A12" s="46" t="inlineStr">
        <is>
          <t>ISO3</t>
        </is>
      </c>
      <c r="B12" s="46" t="inlineStr">
        <is>
          <t>国家</t>
        </is>
      </c>
      <c r="C12" s="46" t="inlineStr">
        <is>
          <t>政治体制代码</t>
        </is>
      </c>
      <c r="D12" s="46" t="inlineStr">
        <is>
          <t>政治体制类别</t>
        </is>
      </c>
      <c r="E12" s="46" t="inlineStr">
        <is>
          <t>风险说明</t>
        </is>
      </c>
      <c r="F12" s="43" t="n"/>
    </row>
    <row r="13">
      <c r="A13" s="48" t="inlineStr">
        <is>
          <t>BHR</t>
        </is>
      </c>
      <c r="B13" s="48" t="inlineStr">
        <is>
          <t>Bahrain</t>
        </is>
      </c>
      <c r="C13" s="48" t="n">
        <v>0</v>
      </c>
      <c r="D13" s="48" t="inlineStr">
        <is>
          <t>Closed autocracy</t>
        </is>
      </c>
      <c r="E13" s="48" t="inlineStr">
        <is>
          <t>缺失可能非随机</t>
        </is>
      </c>
      <c r="F13" s="43" t="n"/>
    </row>
    <row r="14">
      <c r="A14" s="48" t="inlineStr">
        <is>
          <t>BGR</t>
        </is>
      </c>
      <c r="B14" s="48" t="inlineStr">
        <is>
          <t>Bulgaria</t>
        </is>
      </c>
      <c r="C14" s="48" t="n">
        <v>2</v>
      </c>
      <c r="D14" s="48" t="inlineStr">
        <is>
          <t>Electoral democracy</t>
        </is>
      </c>
      <c r="E14" s="48" t="inlineStr">
        <is>
          <t>缺失可能非随机</t>
        </is>
      </c>
      <c r="F14" s="43" t="n"/>
    </row>
    <row r="15">
      <c r="A15" s="48" t="inlineStr">
        <is>
          <t>CAN</t>
        </is>
      </c>
      <c r="B15" s="48" t="inlineStr">
        <is>
          <t>Canada</t>
        </is>
      </c>
      <c r="C15" s="48" t="n">
        <v>2</v>
      </c>
      <c r="D15" s="48" t="inlineStr">
        <is>
          <t>Electoral democracy</t>
        </is>
      </c>
      <c r="E15" s="48" t="inlineStr">
        <is>
          <t>缺失可能非随机</t>
        </is>
      </c>
      <c r="F15" s="43" t="n"/>
    </row>
    <row r="16">
      <c r="A16" s="48" t="inlineStr">
        <is>
          <t>HRV</t>
        </is>
      </c>
      <c r="B16" s="48" t="inlineStr">
        <is>
          <t>Croatia</t>
        </is>
      </c>
      <c r="C16" s="48" t="n">
        <v>2</v>
      </c>
      <c r="D16" s="48" t="inlineStr">
        <is>
          <t>Electoral democracy</t>
        </is>
      </c>
      <c r="E16" s="48" t="inlineStr">
        <is>
          <t>缺失可能非随机</t>
        </is>
      </c>
      <c r="F16" s="43" t="n"/>
    </row>
    <row r="17">
      <c r="A17" s="48" t="inlineStr">
        <is>
          <t>CYP</t>
        </is>
      </c>
      <c r="B17" s="48" t="inlineStr">
        <is>
          <t>Cyprus</t>
        </is>
      </c>
      <c r="C17" s="48" t="n">
        <v>3</v>
      </c>
      <c r="D17" s="48" t="inlineStr">
        <is>
          <t>Liberal democracy</t>
        </is>
      </c>
      <c r="E17" s="48" t="inlineStr">
        <is>
          <t>自由民主组集中缺失；可能影响CPR推断</t>
        </is>
      </c>
      <c r="F17" s="43" t="n"/>
    </row>
    <row r="18">
      <c r="A18" s="48" t="inlineStr">
        <is>
          <t>CZE</t>
        </is>
      </c>
      <c r="B18" s="48" t="inlineStr">
        <is>
          <t>Czechia</t>
        </is>
      </c>
      <c r="C18" s="48" t="n">
        <v>3</v>
      </c>
      <c r="D18" s="48" t="inlineStr">
        <is>
          <t>Liberal democracy</t>
        </is>
      </c>
      <c r="E18" s="48" t="inlineStr">
        <is>
          <t>自由民主组集中缺失；可能影响CPR推断</t>
        </is>
      </c>
      <c r="F18" s="43" t="n"/>
    </row>
    <row r="19">
      <c r="A19" s="48" t="inlineStr">
        <is>
          <t>DNK</t>
        </is>
      </c>
      <c r="B19" s="48" t="inlineStr">
        <is>
          <t>Denmark</t>
        </is>
      </c>
      <c r="C19" s="48" t="n">
        <v>3</v>
      </c>
      <c r="D19" s="48" t="inlineStr">
        <is>
          <t>Liberal democracy</t>
        </is>
      </c>
      <c r="E19" s="48" t="inlineStr">
        <is>
          <t>自由民主组集中缺失；可能影响CPR推断</t>
        </is>
      </c>
      <c r="F19" s="43" t="n"/>
    </row>
    <row r="20">
      <c r="A20" s="48" t="inlineStr">
        <is>
          <t>GRC</t>
        </is>
      </c>
      <c r="B20" s="48" t="inlineStr">
        <is>
          <t>Greece</t>
        </is>
      </c>
      <c r="C20" s="48" t="n">
        <v>2</v>
      </c>
      <c r="D20" s="48" t="inlineStr">
        <is>
          <t>Electoral democracy</t>
        </is>
      </c>
      <c r="E20" s="48" t="inlineStr">
        <is>
          <t>缺失可能非随机</t>
        </is>
      </c>
      <c r="F20" s="43" t="n"/>
    </row>
    <row r="21">
      <c r="A21" s="48" t="inlineStr">
        <is>
          <t>HUN</t>
        </is>
      </c>
      <c r="B21" s="48" t="inlineStr">
        <is>
          <t>Hungary</t>
        </is>
      </c>
      <c r="C21" s="48" t="n">
        <v>1</v>
      </c>
      <c r="D21" s="48" t="inlineStr">
        <is>
          <t>Electoral autocracy</t>
        </is>
      </c>
      <c r="E21" s="48" t="inlineStr">
        <is>
          <t>缺失可能非随机</t>
        </is>
      </c>
      <c r="F21" s="43" t="n"/>
    </row>
    <row r="22">
      <c r="A22" s="48" t="inlineStr">
        <is>
          <t>ISL</t>
        </is>
      </c>
      <c r="B22" s="48" t="inlineStr">
        <is>
          <t>Iceland</t>
        </is>
      </c>
      <c r="C22" s="48" t="n">
        <v>3</v>
      </c>
      <c r="D22" s="48" t="inlineStr">
        <is>
          <t>Liberal democracy</t>
        </is>
      </c>
      <c r="E22" s="48" t="inlineStr">
        <is>
          <t>自由民主组集中缺失；可能影响CPR推断</t>
        </is>
      </c>
      <c r="F22" s="43" t="n"/>
    </row>
    <row r="23">
      <c r="A23" s="48" t="inlineStr">
        <is>
          <t>ISR</t>
        </is>
      </c>
      <c r="B23" s="48" t="inlineStr">
        <is>
          <t>Israel</t>
        </is>
      </c>
      <c r="C23" s="48" t="n">
        <v>2</v>
      </c>
      <c r="D23" s="48" t="inlineStr">
        <is>
          <t>Electoral democracy</t>
        </is>
      </c>
      <c r="E23" s="48" t="inlineStr">
        <is>
          <t>缺失可能非随机</t>
        </is>
      </c>
      <c r="F23" s="43" t="n"/>
    </row>
    <row r="24">
      <c r="A24" s="48" t="inlineStr">
        <is>
          <t>KWT</t>
        </is>
      </c>
      <c r="B24" s="48" t="inlineStr">
        <is>
          <t>Kuwait</t>
        </is>
      </c>
      <c r="C24" s="48" t="n">
        <v>1</v>
      </c>
      <c r="D24" s="48" t="inlineStr">
        <is>
          <t>Electoral autocracy</t>
        </is>
      </c>
      <c r="E24" s="48" t="inlineStr">
        <is>
          <t>缺失可能非随机</t>
        </is>
      </c>
      <c r="F24" s="43" t="n"/>
    </row>
    <row r="25">
      <c r="A25" s="48" t="inlineStr">
        <is>
          <t>LVA</t>
        </is>
      </c>
      <c r="B25" s="48" t="inlineStr">
        <is>
          <t>Latvia</t>
        </is>
      </c>
      <c r="C25" s="48" t="n">
        <v>3</v>
      </c>
      <c r="D25" s="48" t="inlineStr">
        <is>
          <t>Liberal democracy</t>
        </is>
      </c>
      <c r="E25" s="48" t="inlineStr">
        <is>
          <t>自由民主组集中缺失；可能影响CPR推断</t>
        </is>
      </c>
      <c r="F25" s="43" t="n"/>
    </row>
    <row r="26">
      <c r="A26" s="48" t="inlineStr">
        <is>
          <t>LBN</t>
        </is>
      </c>
      <c r="B26" s="48" t="inlineStr">
        <is>
          <t>Lebanon</t>
        </is>
      </c>
      <c r="C26" s="48" t="n">
        <v>1</v>
      </c>
      <c r="D26" s="48" t="inlineStr">
        <is>
          <t>Electoral autocracy</t>
        </is>
      </c>
      <c r="E26" s="48" t="inlineStr">
        <is>
          <t>缺失可能非随机</t>
        </is>
      </c>
      <c r="F26" s="43" t="n"/>
    </row>
    <row r="27">
      <c r="A27" s="48" t="inlineStr">
        <is>
          <t>LTU</t>
        </is>
      </c>
      <c r="B27" s="48" t="inlineStr">
        <is>
          <t>Lithuania</t>
        </is>
      </c>
      <c r="C27" s="48" t="n">
        <v>2</v>
      </c>
      <c r="D27" s="48" t="inlineStr">
        <is>
          <t>Electoral democracy</t>
        </is>
      </c>
      <c r="E27" s="48" t="inlineStr">
        <is>
          <t>缺失可能非随机</t>
        </is>
      </c>
      <c r="F27" s="43" t="n"/>
    </row>
    <row r="28">
      <c r="A28" s="48" t="inlineStr">
        <is>
          <t>LUX</t>
        </is>
      </c>
      <c r="B28" s="48" t="inlineStr">
        <is>
          <t>Luxembourg</t>
        </is>
      </c>
      <c r="C28" s="48" t="n">
        <v>3</v>
      </c>
      <c r="D28" s="48" t="inlineStr">
        <is>
          <t>Liberal democracy</t>
        </is>
      </c>
      <c r="E28" s="48" t="inlineStr">
        <is>
          <t>自由民主组集中缺失；可能影响CPR推断</t>
        </is>
      </c>
      <c r="F28" s="43" t="n"/>
    </row>
    <row r="29">
      <c r="A29" s="48" t="inlineStr">
        <is>
          <t>MLT</t>
        </is>
      </c>
      <c r="B29" s="48" t="inlineStr">
        <is>
          <t>Malta</t>
        </is>
      </c>
      <c r="C29" s="48" t="n">
        <v>2</v>
      </c>
      <c r="D29" s="48" t="inlineStr">
        <is>
          <t>Electoral democracy</t>
        </is>
      </c>
      <c r="E29" s="48" t="inlineStr">
        <is>
          <t>缺失可能非随机</t>
        </is>
      </c>
      <c r="F29" s="43" t="n"/>
    </row>
    <row r="30">
      <c r="A30" s="48" t="inlineStr">
        <is>
          <t>NZL</t>
        </is>
      </c>
      <c r="B30" s="48" t="inlineStr">
        <is>
          <t>New Zealand</t>
        </is>
      </c>
      <c r="C30" s="48" t="n">
        <v>3</v>
      </c>
      <c r="D30" s="48" t="inlineStr">
        <is>
          <t>Liberal democracy</t>
        </is>
      </c>
      <c r="E30" s="48" t="inlineStr">
        <is>
          <t>自由民主组集中缺失；可能影响CPR推断</t>
        </is>
      </c>
      <c r="F30" s="43" t="n"/>
    </row>
    <row r="31">
      <c r="A31" s="48" t="inlineStr">
        <is>
          <t>NOR</t>
        </is>
      </c>
      <c r="B31" s="48" t="inlineStr">
        <is>
          <t>Norway</t>
        </is>
      </c>
      <c r="C31" s="48" t="n">
        <v>3</v>
      </c>
      <c r="D31" s="48" t="inlineStr">
        <is>
          <t>Liberal democracy</t>
        </is>
      </c>
      <c r="E31" s="48" t="inlineStr">
        <is>
          <t>自由民主组集中缺失；可能影响CPR推断</t>
        </is>
      </c>
      <c r="F31" s="43" t="n"/>
    </row>
    <row r="32">
      <c r="A32" s="48" t="inlineStr">
        <is>
          <t>ROU</t>
        </is>
      </c>
      <c r="B32" s="48" t="inlineStr">
        <is>
          <t>Romania</t>
        </is>
      </c>
      <c r="C32" s="48" t="n">
        <v>2</v>
      </c>
      <c r="D32" s="48" t="inlineStr">
        <is>
          <t>Electoral democracy</t>
        </is>
      </c>
      <c r="E32" s="48" t="inlineStr">
        <is>
          <t>缺失可能非随机</t>
        </is>
      </c>
      <c r="F32" s="43" t="n"/>
    </row>
    <row r="33">
      <c r="A33" s="48" t="inlineStr">
        <is>
          <t>SYC</t>
        </is>
      </c>
      <c r="B33" s="48" t="inlineStr">
        <is>
          <t>Seychelles</t>
        </is>
      </c>
      <c r="C33" s="48" t="n">
        <v>3</v>
      </c>
      <c r="D33" s="48" t="inlineStr">
        <is>
          <t>Liberal democracy</t>
        </is>
      </c>
      <c r="E33" s="48" t="inlineStr">
        <is>
          <t>自由民主组集中缺失；可能影响CPR推断</t>
        </is>
      </c>
      <c r="F33" s="43" t="n"/>
    </row>
    <row r="34">
      <c r="A34" s="48" t="inlineStr">
        <is>
          <t>SGP</t>
        </is>
      </c>
      <c r="B34" s="48" t="inlineStr">
        <is>
          <t>Singapore</t>
        </is>
      </c>
      <c r="C34" s="48" t="n">
        <v>1</v>
      </c>
      <c r="D34" s="48" t="inlineStr">
        <is>
          <t>Electoral autocracy</t>
        </is>
      </c>
      <c r="E34" s="48" t="inlineStr">
        <is>
          <t>缺失可能非随机</t>
        </is>
      </c>
      <c r="F34" s="43" t="n"/>
    </row>
    <row r="35">
      <c r="A35" s="48" t="inlineStr">
        <is>
          <t>SVK</t>
        </is>
      </c>
      <c r="B35" s="48" t="inlineStr">
        <is>
          <t>Slovak Republic</t>
        </is>
      </c>
      <c r="C35" s="48" t="n">
        <v>2</v>
      </c>
      <c r="D35" s="48" t="inlineStr">
        <is>
          <t>Electoral democracy</t>
        </is>
      </c>
      <c r="E35" s="48" t="inlineStr">
        <is>
          <t>缺失可能非随机</t>
        </is>
      </c>
      <c r="F35" s="43" t="n"/>
    </row>
    <row r="36">
      <c r="A36" s="48" t="inlineStr">
        <is>
          <t>SVN</t>
        </is>
      </c>
      <c r="B36" s="48" t="inlineStr">
        <is>
          <t>Slovenia</t>
        </is>
      </c>
      <c r="C36" s="48" t="n">
        <v>2</v>
      </c>
      <c r="D36" s="48" t="inlineStr">
        <is>
          <t>Electoral democracy</t>
        </is>
      </c>
      <c r="E36" s="48" t="inlineStr">
        <is>
          <t>缺失可能非随机</t>
        </is>
      </c>
      <c r="F36" s="43" t="n"/>
    </row>
    <row r="37">
      <c r="A37" s="48" t="inlineStr">
        <is>
          <t>SWE</t>
        </is>
      </c>
      <c r="B37" s="48" t="inlineStr">
        <is>
          <t>Sweden</t>
        </is>
      </c>
      <c r="C37" s="48" t="n">
        <v>3</v>
      </c>
      <c r="D37" s="48" t="inlineStr">
        <is>
          <t>Liberal democracy</t>
        </is>
      </c>
      <c r="E37" s="48" t="inlineStr">
        <is>
          <t>自由民主组集中缺失；可能影响CPR推断</t>
        </is>
      </c>
      <c r="F37" s="43" t="n"/>
    </row>
    <row r="38">
      <c r="A38" s="48" t="inlineStr">
        <is>
          <t>SYR</t>
        </is>
      </c>
      <c r="B38" s="48" t="inlineStr">
        <is>
          <t>Syrian Arab Republic</t>
        </is>
      </c>
      <c r="C38" s="48" t="n">
        <v>0</v>
      </c>
      <c r="D38" s="48" t="inlineStr">
        <is>
          <t>Closed autocracy</t>
        </is>
      </c>
      <c r="E38" s="48" t="inlineStr">
        <is>
          <t>缺失可能非随机</t>
        </is>
      </c>
      <c r="F38" s="43" t="n"/>
    </row>
    <row r="39">
      <c r="A39" s="48" t="inlineStr">
        <is>
          <t>ARE</t>
        </is>
      </c>
      <c r="B39" s="48" t="inlineStr">
        <is>
          <t>United Arab Emirates</t>
        </is>
      </c>
      <c r="C39" s="48" t="n">
        <v>0</v>
      </c>
      <c r="D39" s="48" t="inlineStr">
        <is>
          <t>Closed autocracy</t>
        </is>
      </c>
      <c r="E39" s="48" t="inlineStr">
        <is>
          <t>缺失可能非随机</t>
        </is>
      </c>
      <c r="F39" s="43" t="n"/>
    </row>
    <row r="40">
      <c r="A40" s="48" t="inlineStr">
        <is>
          <t>URY</t>
        </is>
      </c>
      <c r="B40" s="48" t="inlineStr">
        <is>
          <t>Uruguay</t>
        </is>
      </c>
      <c r="C40" s="48" t="n">
        <v>3</v>
      </c>
      <c r="D40" s="48" t="inlineStr">
        <is>
          <t>Liberal democracy</t>
        </is>
      </c>
      <c r="E40" s="48" t="inlineStr">
        <is>
          <t>自由民主组集中缺失；可能影响CPR推断</t>
        </is>
      </c>
      <c r="F40" s="43" t="n"/>
    </row>
  </sheetData>
  <mergeCells count="3">
    <mergeCell ref="A11:E11"/>
    <mergeCell ref="A2:Q2"/>
    <mergeCell ref="A1:Q1"/>
  </mergeCells>
  <pageMargins left="0.7" right="0.7" top="0.75" bottom="0.75" header="0.3" footer="0.3"/>
  <pageSetup orientation="landscape" fitToHeight="0" fitToWidth="1"/>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fitToPage="1"/>
  </sheetPr>
  <dimension ref="A1:Q11"/>
  <sheetViews>
    <sheetView showGridLines="1" workbookViewId="0">
      <selection activeCell="A1" sqref="A1"/>
    </sheetView>
  </sheetViews>
  <sheetFormatPr baseColWidth="8" defaultRowHeight="15"/>
  <cols>
    <col width="25" customWidth="1" min="1" max="1"/>
    <col width="25" customWidth="1" min="2" max="2"/>
    <col width="10" customWidth="1" min="3" max="3"/>
    <col width="15" customWidth="1" min="4" max="4"/>
    <col width="58" customWidth="1" min="5" max="5"/>
  </cols>
  <sheetData>
    <row r="1" ht="30" customHeight="1">
      <c r="A1" s="42" t="inlineStr">
        <is>
          <t>双变量相关系数</t>
        </is>
      </c>
    </row>
    <row r="2" ht="32" customHeight="1">
      <c r="A2" s="44" t="inlineStr">
        <is>
          <t>Pearson r；每一行都显示自己的有效样本量，不将MMR与CPR统一标为n=167。</t>
        </is>
      </c>
    </row>
    <row r="3">
      <c r="A3" s="43" t="n"/>
      <c r="B3" s="43" t="n"/>
      <c r="C3" s="43" t="n"/>
      <c r="D3" s="43" t="n"/>
      <c r="E3" s="43" t="n"/>
    </row>
    <row r="4" ht="32" customHeight="1">
      <c r="A4" s="46" t="inlineStr">
        <is>
          <t>变量X</t>
        </is>
      </c>
      <c r="B4" s="46" t="inlineStr">
        <is>
          <t>变量Y</t>
        </is>
      </c>
      <c r="C4" s="46" t="inlineStr">
        <is>
          <t>n</t>
        </is>
      </c>
      <c r="D4" s="46" t="inlineStr">
        <is>
          <t>Pearson r</t>
        </is>
      </c>
      <c r="E4" s="46" t="inlineStr">
        <is>
          <t>解释</t>
        </is>
      </c>
    </row>
    <row r="5">
      <c r="A5" s="48" t="inlineStr">
        <is>
          <t>政治体制代码</t>
        </is>
      </c>
      <c r="B5" s="48" t="inlineStr">
        <is>
          <t>log(MMR)</t>
        </is>
      </c>
      <c r="C5" s="48" t="n">
        <v>166</v>
      </c>
      <c r="D5" s="74">
        <f>CORREL('跨国底稿'!$H$5:$H$171,'跨国底稿'!$N$5:$N$171)</f>
        <v/>
      </c>
      <c r="E5" s="48" t="inlineStr">
        <is>
          <t>双变量梯度；不作因果解释</t>
        </is>
      </c>
    </row>
    <row r="6">
      <c r="A6" s="48" t="inlineStr">
        <is>
          <t>政治体制代码</t>
        </is>
      </c>
      <c r="B6" s="48" t="inlineStr">
        <is>
          <t>MMR</t>
        </is>
      </c>
      <c r="C6" s="48" t="n">
        <v>166</v>
      </c>
      <c r="D6" s="74">
        <f>CORREL('跨国底稿'!$H$5:$H$171,'跨国底稿'!$C$5:$C$171)</f>
        <v/>
      </c>
      <c r="E6" s="48" t="inlineStr">
        <is>
          <t>双变量梯度；不作因果解释</t>
        </is>
      </c>
    </row>
    <row r="7">
      <c r="A7" s="48" t="inlineStr">
        <is>
          <t>政治体制代码</t>
        </is>
      </c>
      <c r="B7" s="48" t="inlineStr">
        <is>
          <t>CPR</t>
        </is>
      </c>
      <c r="C7" s="48" t="n">
        <v>138</v>
      </c>
      <c r="D7" s="74">
        <f>CORREL('跨国底稿'!$H$5:$H$171,'跨国底稿'!$K$5:$K$171)</f>
        <v/>
      </c>
      <c r="E7" s="48" t="inlineStr">
        <is>
          <t>双变量正向梯度；CPR缺失需注意</t>
        </is>
      </c>
    </row>
    <row r="8">
      <c r="A8" s="48" t="inlineStr">
        <is>
          <t>logGDP</t>
        </is>
      </c>
      <c r="B8" s="48" t="inlineStr">
        <is>
          <t>log(MMR)</t>
        </is>
      </c>
      <c r="C8" s="48" t="n">
        <v>167</v>
      </c>
      <c r="D8" s="74">
        <f>CORREL('跨国底稿'!$G$5:$G$171,'跨国底稿'!$N$5:$N$171)</f>
        <v/>
      </c>
      <c r="E8" s="48" t="inlineStr">
        <is>
          <t>背景相关</t>
        </is>
      </c>
    </row>
    <row r="9">
      <c r="A9" s="48" t="inlineStr">
        <is>
          <t>logGDP</t>
        </is>
      </c>
      <c r="B9" s="48" t="inlineStr">
        <is>
          <t>MMR</t>
        </is>
      </c>
      <c r="C9" s="48" t="n">
        <v>167</v>
      </c>
      <c r="D9" s="74">
        <f>CORREL('跨国底稿'!$G$5:$G$171,'跨国底稿'!$C$5:$C$171)</f>
        <v/>
      </c>
      <c r="E9" s="48" t="inlineStr">
        <is>
          <t>背景相关</t>
        </is>
      </c>
    </row>
    <row r="10">
      <c r="A10" s="48" t="inlineStr">
        <is>
          <t>logGDP</t>
        </is>
      </c>
      <c r="B10" s="48" t="inlineStr">
        <is>
          <t>CPR</t>
        </is>
      </c>
      <c r="C10" s="48" t="n">
        <v>139</v>
      </c>
      <c r="D10" s="74">
        <f>CORREL('跨国底稿'!$G$5:$G$171,'跨国底稿'!$K$5:$K$171)</f>
        <v/>
      </c>
      <c r="E10" s="48" t="inlineStr">
        <is>
          <t>背景相关</t>
        </is>
      </c>
    </row>
    <row r="11">
      <c r="A11" s="48" t="inlineStr">
        <is>
          <t>政治体制代码</t>
        </is>
      </c>
      <c r="B11" s="48" t="inlineStr">
        <is>
          <t>logGDP</t>
        </is>
      </c>
      <c r="C11" s="48" t="n">
        <v>166</v>
      </c>
      <c r="D11" s="74">
        <f>CORREL('跨国底稿'!$H$5:$H$171,'跨国底稿'!$G$5:$G$171)</f>
        <v/>
      </c>
      <c r="E11" s="48" t="inlineStr">
        <is>
          <t>收入可能混杂体制与健康关联</t>
        </is>
      </c>
    </row>
  </sheetData>
  <mergeCells count="2">
    <mergeCell ref="A2:Q2"/>
    <mergeCell ref="A1:Q1"/>
  </mergeCells>
  <pageMargins left="0.7" right="0.7" top="0.75" bottom="0.75" header="0.3" footer="0.3"/>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Q30"/>
  <sheetViews>
    <sheetView showGridLines="1" workbookViewId="0">
      <selection activeCell="A1" sqref="A1"/>
    </sheetView>
  </sheetViews>
  <sheetFormatPr baseColWidth="8" defaultRowHeight="15"/>
  <cols>
    <col width="43" customWidth="1" min="1" max="1"/>
    <col width="21" customWidth="1" min="2" max="2"/>
    <col width="9" customWidth="1" min="3" max="3"/>
    <col width="9" customWidth="1" min="4" max="4"/>
    <col width="13" customWidth="1" min="5" max="5"/>
    <col width="13" customWidth="1" min="6" max="6"/>
    <col width="13" customWidth="1" min="7" max="7"/>
    <col width="13" customWidth="1" min="8" max="8"/>
    <col width="13" customWidth="1" min="9" max="9"/>
    <col width="16" customWidth="1" min="10" max="10"/>
    <col width="16" customWidth="1" min="11" max="11"/>
    <col width="12" customWidth="1" min="12" max="12"/>
    <col width="12" customWidth="1" min="13" max="13"/>
  </cols>
  <sheetData>
    <row r="1" ht="30" customHeight="1">
      <c r="A1" s="42" t="inlineStr">
        <is>
          <t>主要模型结果</t>
        </is>
      </c>
    </row>
    <row r="2" ht="32" customHeight="1">
      <c r="A2" s="44" t="inlineStr">
        <is>
          <t>HC3为主要推断；经典OLS并列。β是政治体制每提高一个类别的变化，前提是0–3等距趋势成立。</t>
        </is>
      </c>
    </row>
    <row r="3">
      <c r="A3" s="43" t="n"/>
      <c r="B3" s="43" t="n"/>
      <c r="C3" s="43" t="n"/>
      <c r="D3" s="43" t="n"/>
      <c r="E3" s="43" t="n"/>
      <c r="F3" s="43" t="n"/>
      <c r="G3" s="43" t="n"/>
      <c r="H3" s="43" t="n"/>
      <c r="I3" s="43" t="n"/>
      <c r="J3" s="43" t="n"/>
      <c r="K3" s="43" t="n"/>
      <c r="L3" s="43" t="n"/>
      <c r="M3" s="43" t="n"/>
    </row>
    <row r="4" ht="32" customHeight="1">
      <c r="A4" s="46" t="inlineStr">
        <is>
          <t>模型</t>
        </is>
      </c>
      <c r="B4" s="46" t="inlineStr">
        <is>
          <t>政治体制项</t>
        </is>
      </c>
      <c r="C4" s="46" t="inlineStr">
        <is>
          <t>n</t>
        </is>
      </c>
      <c r="D4" s="46" t="inlineStr">
        <is>
          <t>df</t>
        </is>
      </c>
      <c r="E4" s="46" t="inlineStr">
        <is>
          <t>β</t>
        </is>
      </c>
      <c r="F4" s="46" t="inlineStr">
        <is>
          <t>经典SE</t>
        </is>
      </c>
      <c r="G4" s="46" t="inlineStr">
        <is>
          <t>经典p</t>
        </is>
      </c>
      <c r="H4" s="46" t="inlineStr">
        <is>
          <t>HC3 SE</t>
        </is>
      </c>
      <c r="I4" s="46" t="inlineStr">
        <is>
          <t>HC3 p</t>
        </is>
      </c>
      <c r="J4" s="46" t="inlineStr">
        <is>
          <t>HC3 95%CI下限</t>
        </is>
      </c>
      <c r="K4" s="46" t="inlineStr">
        <is>
          <t>HC3 95%CI上限</t>
        </is>
      </c>
      <c r="L4" s="46" t="inlineStr">
        <is>
          <t>R²</t>
        </is>
      </c>
      <c r="M4" s="46" t="inlineStr">
        <is>
          <t>调整R²</t>
        </is>
      </c>
    </row>
    <row r="5">
      <c r="A5" s="48" t="inlineStr">
        <is>
          <t>M1 Primary: log(MMR), ordinal regime</t>
        </is>
      </c>
      <c r="B5" s="48" t="inlineStr">
        <is>
          <t>regime_code</t>
        </is>
      </c>
      <c r="C5" s="48" t="n">
        <v>166</v>
      </c>
      <c r="D5" s="48" t="n">
        <v>163</v>
      </c>
      <c r="E5" s="76" t="n">
        <v>-0.05307168635970483</v>
      </c>
      <c r="F5" s="76" t="n">
        <v>0.07920164047038734</v>
      </c>
      <c r="G5" s="77" t="n">
        <v>0.5037529732829312</v>
      </c>
      <c r="H5" s="76" t="n">
        <v>0.07518112726812286</v>
      </c>
      <c r="I5" s="77" t="n">
        <v>0.4812470390486583</v>
      </c>
      <c r="J5" s="76" t="n">
        <v>-0.2015261912948643</v>
      </c>
      <c r="K5" s="76" t="n">
        <v>0.09538281857545461</v>
      </c>
      <c r="L5" s="76" t="n">
        <v>0.7311693238986037</v>
      </c>
      <c r="M5" s="76" t="n">
        <v>0.7278707879955191</v>
      </c>
    </row>
    <row r="6">
      <c r="A6" s="48" t="inlineStr">
        <is>
          <t>M3 Primary: CPR 2010-2023 latest</t>
        </is>
      </c>
      <c r="B6" s="48" t="inlineStr">
        <is>
          <t>regime_code</t>
        </is>
      </c>
      <c r="C6" s="48" t="n">
        <v>138</v>
      </c>
      <c r="D6" s="48" t="n">
        <v>135</v>
      </c>
      <c r="E6" s="76" t="n">
        <v>4.827299112462815</v>
      </c>
      <c r="F6" s="76" t="n">
        <v>1.677145235703393</v>
      </c>
      <c r="G6" s="77" t="n">
        <v>0.00465021353475013</v>
      </c>
      <c r="H6" s="76" t="n">
        <v>1.9817132798377</v>
      </c>
      <c r="I6" s="77" t="n">
        <v>0.01615778216759345</v>
      </c>
      <c r="J6" s="76" t="n">
        <v>0.908080063257922</v>
      </c>
      <c r="K6" s="76" t="n">
        <v>8.746518161667709</v>
      </c>
      <c r="L6" s="76" t="n">
        <v>0.3726022737484496</v>
      </c>
      <c r="M6" s="76" t="n">
        <v>0.3633074926187969</v>
      </c>
    </row>
    <row r="7">
      <c r="A7" s="43" t="n"/>
      <c r="B7" s="43" t="n"/>
      <c r="C7" s="43" t="n"/>
      <c r="D7" s="43" t="n"/>
      <c r="E7" s="78" t="n"/>
      <c r="F7" s="78" t="n"/>
      <c r="G7" s="79" t="n"/>
      <c r="H7" s="78" t="n"/>
      <c r="I7" s="79" t="n"/>
      <c r="J7" s="78" t="n"/>
      <c r="K7" s="78" t="n"/>
      <c r="L7" s="78" t="n"/>
      <c r="M7" s="78" t="n"/>
    </row>
    <row r="8">
      <c r="A8" s="58" t="inlineStr">
        <is>
          <t>完整参数表（包括截距和logGDP）</t>
        </is>
      </c>
    </row>
    <row r="9" ht="32" customHeight="1">
      <c r="A9" s="46" t="inlineStr">
        <is>
          <t>模型</t>
        </is>
      </c>
      <c r="B9" s="46" t="inlineStr">
        <is>
          <t>模型项</t>
        </is>
      </c>
      <c r="C9" s="46" t="inlineStr">
        <is>
          <t>n</t>
        </is>
      </c>
      <c r="D9" s="46" t="inlineStr">
        <is>
          <t>df</t>
        </is>
      </c>
      <c r="E9" s="80" t="inlineStr">
        <is>
          <t>β</t>
        </is>
      </c>
      <c r="F9" s="80" t="inlineStr">
        <is>
          <t>经典SE</t>
        </is>
      </c>
      <c r="G9" s="81" t="inlineStr">
        <is>
          <t>经典p</t>
        </is>
      </c>
      <c r="H9" s="80" t="inlineStr">
        <is>
          <t>HC3 SE</t>
        </is>
      </c>
      <c r="I9" s="81" t="inlineStr">
        <is>
          <t>HC3 p</t>
        </is>
      </c>
      <c r="J9" s="80" t="inlineStr">
        <is>
          <t>HC3 95%CI下限</t>
        </is>
      </c>
      <c r="K9" s="80" t="inlineStr">
        <is>
          <t>HC3 95%CI上限</t>
        </is>
      </c>
      <c r="L9" s="80" t="inlineStr">
        <is>
          <t>R²</t>
        </is>
      </c>
      <c r="M9" s="80" t="inlineStr">
        <is>
          <t>调整R²</t>
        </is>
      </c>
    </row>
    <row r="10">
      <c r="A10" s="48" t="inlineStr">
        <is>
          <t>M1 Primary: log(MMR), ordinal regime</t>
        </is>
      </c>
      <c r="B10" s="48" t="inlineStr">
        <is>
          <t>Intercept</t>
        </is>
      </c>
      <c r="C10" s="48" t="n">
        <v>166</v>
      </c>
      <c r="D10" s="48" t="n">
        <v>163</v>
      </c>
      <c r="E10" s="76" t="n">
        <v>15.25002011227093</v>
      </c>
      <c r="F10" s="76" t="n">
        <v>0.592408105544815</v>
      </c>
      <c r="G10" s="77" t="n">
        <v>2.604644648227683e-59</v>
      </c>
      <c r="H10" s="76" t="n">
        <v>0.5285871637468168</v>
      </c>
      <c r="I10" s="77" t="n">
        <v>6.189430474074346e-66</v>
      </c>
      <c r="J10" s="76" t="n">
        <v>14.20625888441307</v>
      </c>
      <c r="K10" s="76" t="n">
        <v>16.29378134012878</v>
      </c>
      <c r="L10" s="76" t="n">
        <v>0.7311693238986037</v>
      </c>
      <c r="M10" s="76" t="n">
        <v>0.7278707879955191</v>
      </c>
    </row>
    <row r="11">
      <c r="A11" s="48" t="inlineStr">
        <is>
          <t>M1 Primary: log(MMR), ordinal regime</t>
        </is>
      </c>
      <c r="B11" s="48" t="inlineStr">
        <is>
          <t>regime_code</t>
        </is>
      </c>
      <c r="C11" s="48" t="n">
        <v>166</v>
      </c>
      <c r="D11" s="48" t="n">
        <v>163</v>
      </c>
      <c r="E11" s="76" t="n">
        <v>-0.05307168635970483</v>
      </c>
      <c r="F11" s="76" t="n">
        <v>0.07920164047038734</v>
      </c>
      <c r="G11" s="77" t="n">
        <v>0.5037529732829312</v>
      </c>
      <c r="H11" s="76" t="n">
        <v>0.07518112726812286</v>
      </c>
      <c r="I11" s="77" t="n">
        <v>0.4812470390486583</v>
      </c>
      <c r="J11" s="76" t="n">
        <v>-0.2015261912948643</v>
      </c>
      <c r="K11" s="76" t="n">
        <v>0.09538281857545461</v>
      </c>
      <c r="L11" s="76" t="n">
        <v>0.7311693238986037</v>
      </c>
      <c r="M11" s="76" t="n">
        <v>0.7278707879955191</v>
      </c>
    </row>
    <row r="12">
      <c r="A12" s="48" t="inlineStr">
        <is>
          <t>M1 Primary: log(MMR), ordinal regime</t>
        </is>
      </c>
      <c r="B12" s="48" t="inlineStr">
        <is>
          <t>log_gdp</t>
        </is>
      </c>
      <c r="C12" s="48" t="n">
        <v>166</v>
      </c>
      <c r="D12" s="48" t="n">
        <v>163</v>
      </c>
      <c r="E12" s="76" t="n">
        <v>-1.203359260253577</v>
      </c>
      <c r="F12" s="76" t="n">
        <v>0.0667300756369925</v>
      </c>
      <c r="G12" s="77" t="n">
        <v>1.134586291950652e-40</v>
      </c>
      <c r="H12" s="76" t="n">
        <v>0.06114314994949469</v>
      </c>
      <c r="I12" s="77" t="n">
        <v>6.339479050637904e-45</v>
      </c>
      <c r="J12" s="76" t="n">
        <v>-1.324094029546896</v>
      </c>
      <c r="K12" s="76" t="n">
        <v>-1.082624490960258</v>
      </c>
      <c r="L12" s="76" t="n">
        <v>0.7311693238986037</v>
      </c>
      <c r="M12" s="76" t="n">
        <v>0.7278707879955191</v>
      </c>
    </row>
    <row r="13">
      <c r="A13" s="48" t="inlineStr">
        <is>
          <t>M3 Primary: CPR 2010-2023 latest</t>
        </is>
      </c>
      <c r="B13" s="48" t="inlineStr">
        <is>
          <t>Intercept</t>
        </is>
      </c>
      <c r="C13" s="48" t="n">
        <v>138</v>
      </c>
      <c r="D13" s="48" t="n">
        <v>135</v>
      </c>
      <c r="E13" s="76" t="n">
        <v>-39.68471042393156</v>
      </c>
      <c r="F13" s="76" t="n">
        <v>12.57975668124696</v>
      </c>
      <c r="G13" s="77" t="n">
        <v>0.001981281589334687</v>
      </c>
      <c r="H13" s="76" t="n">
        <v>12.83374750228946</v>
      </c>
      <c r="I13" s="77" t="n">
        <v>0.002414339244272584</v>
      </c>
      <c r="J13" s="76" t="n">
        <v>-65.06591374703687</v>
      </c>
      <c r="K13" s="76" t="n">
        <v>-14.30350710082626</v>
      </c>
      <c r="L13" s="76" t="n">
        <v>0.3726022737484496</v>
      </c>
      <c r="M13" s="76" t="n">
        <v>0.3633074926187969</v>
      </c>
    </row>
    <row r="14">
      <c r="A14" s="48" t="inlineStr">
        <is>
          <t>M3 Primary: CPR 2010-2023 latest</t>
        </is>
      </c>
      <c r="B14" s="48" t="inlineStr">
        <is>
          <t>regime_code</t>
        </is>
      </c>
      <c r="C14" s="48" t="n">
        <v>138</v>
      </c>
      <c r="D14" s="48" t="n">
        <v>135</v>
      </c>
      <c r="E14" s="76" t="n">
        <v>4.827299112462815</v>
      </c>
      <c r="F14" s="76" t="n">
        <v>1.677145235703393</v>
      </c>
      <c r="G14" s="77" t="n">
        <v>0.00465021353475013</v>
      </c>
      <c r="H14" s="76" t="n">
        <v>1.9817132798377</v>
      </c>
      <c r="I14" s="77" t="n">
        <v>0.01615778216759345</v>
      </c>
      <c r="J14" s="76" t="n">
        <v>0.908080063257922</v>
      </c>
      <c r="K14" s="76" t="n">
        <v>8.746518161667709</v>
      </c>
      <c r="L14" s="76" t="n">
        <v>0.3726022737484496</v>
      </c>
      <c r="M14" s="76" t="n">
        <v>0.3633074926187969</v>
      </c>
    </row>
    <row r="15">
      <c r="A15" s="48" t="inlineStr">
        <is>
          <t>M3 Primary: CPR 2010-2023 latest</t>
        </is>
      </c>
      <c r="B15" s="48" t="inlineStr">
        <is>
          <t>log_gdp</t>
        </is>
      </c>
      <c r="C15" s="48" t="n">
        <v>138</v>
      </c>
      <c r="D15" s="48" t="n">
        <v>135</v>
      </c>
      <c r="E15" s="76" t="n">
        <v>8.820276715945392</v>
      </c>
      <c r="F15" s="76" t="n">
        <v>1.44175195040604</v>
      </c>
      <c r="G15" s="77" t="n">
        <v>9.629503374636667e-09</v>
      </c>
      <c r="H15" s="76" t="n">
        <v>1.584436436628153</v>
      </c>
      <c r="I15" s="77" t="n">
        <v>1.347784295869305e-07</v>
      </c>
      <c r="J15" s="76" t="n">
        <v>5.686749011475474</v>
      </c>
      <c r="K15" s="76" t="n">
        <v>11.95380442041531</v>
      </c>
      <c r="L15" s="76" t="n">
        <v>0.3726022737484496</v>
      </c>
      <c r="M15" s="76" t="n">
        <v>0.3633074926187969</v>
      </c>
    </row>
    <row r="16">
      <c r="A16" s="43" t="n"/>
      <c r="B16" s="43" t="n"/>
      <c r="C16" s="43" t="n"/>
      <c r="D16" s="43" t="n"/>
      <c r="E16" s="78" t="n"/>
      <c r="F16" s="78" t="n"/>
      <c r="G16" s="79" t="n"/>
      <c r="H16" s="78" t="n"/>
      <c r="I16" s="79" t="n"/>
      <c r="J16" s="78" t="n"/>
      <c r="K16" s="78" t="n"/>
      <c r="L16" s="78" t="n"/>
      <c r="M16" s="78" t="n"/>
    </row>
    <row r="17">
      <c r="A17" s="43" t="n"/>
      <c r="B17" s="43" t="n"/>
      <c r="C17" s="43" t="n"/>
      <c r="D17" s="43" t="n"/>
      <c r="E17" s="78" t="n"/>
      <c r="F17" s="78" t="n"/>
      <c r="G17" s="79" t="n"/>
      <c r="H17" s="78" t="n"/>
      <c r="I17" s="79" t="n"/>
      <c r="J17" s="78" t="n"/>
      <c r="K17" s="78" t="n"/>
      <c r="L17" s="78" t="n"/>
      <c r="M17" s="78" t="n"/>
    </row>
    <row r="18">
      <c r="A18" s="43" t="n"/>
      <c r="B18" s="43" t="n"/>
      <c r="C18" s="43" t="n"/>
      <c r="D18" s="43" t="n"/>
      <c r="E18" s="78" t="n"/>
      <c r="F18" s="78" t="n"/>
      <c r="G18" s="79" t="n"/>
      <c r="H18" s="78" t="n"/>
      <c r="I18" s="79" t="n"/>
      <c r="J18" s="78" t="n"/>
      <c r="K18" s="78" t="n"/>
      <c r="L18" s="78" t="n"/>
      <c r="M18" s="78" t="n"/>
    </row>
    <row r="19">
      <c r="A19" s="43" t="n"/>
      <c r="B19" s="43" t="n"/>
      <c r="C19" s="43" t="n"/>
      <c r="D19" s="43" t="n"/>
      <c r="E19" s="78" t="n"/>
      <c r="F19" s="78" t="n"/>
      <c r="G19" s="79" t="n"/>
      <c r="H19" s="78" t="n"/>
      <c r="I19" s="79" t="n"/>
      <c r="J19" s="78" t="n"/>
      <c r="K19" s="78" t="n"/>
      <c r="L19" s="78" t="n"/>
      <c r="M19" s="78" t="n"/>
    </row>
    <row r="20">
      <c r="A20" s="43" t="n"/>
      <c r="B20" s="43" t="n"/>
      <c r="C20" s="43" t="n"/>
      <c r="D20" s="43" t="n"/>
      <c r="E20" s="78" t="n"/>
      <c r="F20" s="78" t="n"/>
      <c r="G20" s="79" t="n"/>
      <c r="H20" s="78" t="n"/>
      <c r="I20" s="79" t="n"/>
      <c r="J20" s="78" t="n"/>
      <c r="K20" s="78" t="n"/>
      <c r="L20" s="78" t="n"/>
      <c r="M20" s="78" t="n"/>
    </row>
    <row r="21">
      <c r="A21" s="43" t="n"/>
      <c r="B21" s="43" t="n"/>
      <c r="C21" s="43" t="n"/>
      <c r="D21" s="43" t="n"/>
      <c r="E21" s="78" t="n"/>
      <c r="F21" s="78" t="n"/>
      <c r="G21" s="79" t="n"/>
      <c r="H21" s="78" t="n"/>
      <c r="I21" s="79" t="n"/>
      <c r="J21" s="78" t="n"/>
      <c r="K21" s="78" t="n"/>
      <c r="L21" s="78" t="n"/>
      <c r="M21" s="78" t="n"/>
    </row>
    <row r="22">
      <c r="A22" s="43" t="n"/>
      <c r="B22" s="43" t="n"/>
      <c r="C22" s="43" t="n"/>
      <c r="D22" s="43" t="n"/>
      <c r="E22" s="78" t="n"/>
      <c r="F22" s="78" t="n"/>
      <c r="G22" s="79" t="n"/>
      <c r="H22" s="78" t="n"/>
      <c r="I22" s="79" t="n"/>
      <c r="J22" s="78" t="n"/>
      <c r="K22" s="78" t="n"/>
      <c r="L22" s="78" t="n"/>
      <c r="M22" s="78" t="n"/>
    </row>
    <row r="23">
      <c r="A23" s="43" t="n"/>
      <c r="B23" s="43" t="n"/>
      <c r="C23" s="43" t="n"/>
      <c r="D23" s="43" t="n"/>
      <c r="E23" s="78" t="n"/>
      <c r="F23" s="78" t="n"/>
      <c r="G23" s="79" t="n"/>
      <c r="H23" s="78" t="n"/>
      <c r="I23" s="79" t="n"/>
      <c r="J23" s="78" t="n"/>
      <c r="K23" s="78" t="n"/>
      <c r="L23" s="78" t="n"/>
      <c r="M23" s="78" t="n"/>
    </row>
    <row r="24">
      <c r="A24" s="43" t="n"/>
      <c r="B24" s="43" t="n"/>
      <c r="C24" s="43" t="n"/>
      <c r="D24" s="43" t="n"/>
      <c r="E24" s="78" t="n"/>
      <c r="F24" s="78" t="n"/>
      <c r="G24" s="79" t="n"/>
      <c r="H24" s="78" t="n"/>
      <c r="I24" s="79" t="n"/>
      <c r="J24" s="78" t="n"/>
      <c r="K24" s="78" t="n"/>
      <c r="L24" s="78" t="n"/>
      <c r="M24" s="78" t="n"/>
    </row>
    <row r="25">
      <c r="A25" s="43" t="n"/>
      <c r="B25" s="43" t="n"/>
      <c r="C25" s="43" t="n"/>
      <c r="D25" s="43" t="n"/>
      <c r="E25" s="78" t="n"/>
      <c r="F25" s="78" t="n"/>
      <c r="G25" s="79" t="n"/>
      <c r="H25" s="78" t="n"/>
      <c r="I25" s="79" t="n"/>
      <c r="J25" s="78" t="n"/>
      <c r="K25" s="78" t="n"/>
      <c r="L25" s="78" t="n"/>
      <c r="M25" s="78" t="n"/>
    </row>
    <row r="26">
      <c r="A26" s="43" t="n"/>
      <c r="B26" s="43" t="n"/>
      <c r="C26" s="43" t="n"/>
      <c r="D26" s="43" t="n"/>
      <c r="E26" s="78" t="n"/>
      <c r="F26" s="78" t="n"/>
      <c r="G26" s="79" t="n"/>
      <c r="H26" s="78" t="n"/>
      <c r="I26" s="79" t="n"/>
      <c r="J26" s="78" t="n"/>
      <c r="K26" s="78" t="n"/>
      <c r="L26" s="78" t="n"/>
      <c r="M26" s="78" t="n"/>
    </row>
    <row r="27">
      <c r="A27" s="43" t="n"/>
      <c r="B27" s="43" t="n"/>
      <c r="C27" s="43" t="n"/>
      <c r="D27" s="43" t="n"/>
      <c r="E27" s="78" t="n"/>
      <c r="F27" s="78" t="n"/>
      <c r="G27" s="79" t="n"/>
      <c r="H27" s="78" t="n"/>
      <c r="I27" s="79" t="n"/>
      <c r="J27" s="78" t="n"/>
      <c r="K27" s="78" t="n"/>
      <c r="L27" s="78" t="n"/>
      <c r="M27" s="78" t="n"/>
    </row>
    <row r="28">
      <c r="A28" s="43" t="n"/>
      <c r="B28" s="43" t="n"/>
      <c r="C28" s="43" t="n"/>
      <c r="D28" s="43" t="n"/>
      <c r="E28" s="78" t="n"/>
      <c r="F28" s="78" t="n"/>
      <c r="G28" s="79" t="n"/>
      <c r="H28" s="78" t="n"/>
      <c r="I28" s="79" t="n"/>
      <c r="J28" s="78" t="n"/>
      <c r="K28" s="78" t="n"/>
      <c r="L28" s="78" t="n"/>
      <c r="M28" s="78" t="n"/>
    </row>
    <row r="29">
      <c r="A29" s="43" t="n"/>
      <c r="B29" s="43" t="n"/>
      <c r="C29" s="43" t="n"/>
      <c r="D29" s="43" t="n"/>
      <c r="E29" s="78" t="n"/>
      <c r="F29" s="78" t="n"/>
      <c r="G29" s="79" t="n"/>
      <c r="H29" s="78" t="n"/>
      <c r="I29" s="79" t="n"/>
      <c r="J29" s="78" t="n"/>
      <c r="K29" s="78" t="n"/>
      <c r="L29" s="78" t="n"/>
      <c r="M29" s="78" t="n"/>
    </row>
    <row r="30">
      <c r="A30" s="43" t="n"/>
      <c r="B30" s="43" t="n"/>
      <c r="C30" s="43" t="n"/>
      <c r="D30" s="43" t="n"/>
      <c r="E30" s="78" t="n"/>
      <c r="F30" s="78" t="n"/>
      <c r="G30" s="79" t="n"/>
      <c r="H30" s="78" t="n"/>
      <c r="I30" s="79" t="n"/>
      <c r="J30" s="78" t="n"/>
      <c r="K30" s="78" t="n"/>
      <c r="L30" s="78" t="n"/>
      <c r="M30" s="78" t="n"/>
    </row>
  </sheetData>
  <mergeCells count="3">
    <mergeCell ref="A2:Q2"/>
    <mergeCell ref="A8:M8"/>
    <mergeCell ref="A1:Q1"/>
  </mergeCells>
  <pageMargins left="0.7" right="0.7" top="0.75" bottom="0.75" header="0.3" footer="0.3"/>
  <pageSetup orientation="landscape" fitToHeight="0" fitToWidth="1"/>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fitToPage="1"/>
  </sheetPr>
  <dimension ref="A1:Q14"/>
  <sheetViews>
    <sheetView showGridLines="1" workbookViewId="0">
      <selection activeCell="A1" sqref="A1"/>
    </sheetView>
  </sheetViews>
  <sheetFormatPr baseColWidth="8" defaultRowHeight="15"/>
  <cols>
    <col width="45" customWidth="1" min="1" max="1"/>
    <col width="20" customWidth="1" min="2" max="2"/>
    <col width="9" customWidth="1" min="3" max="3"/>
    <col width="9" customWidth="1" min="4" max="4"/>
    <col width="13" customWidth="1" min="5" max="5"/>
    <col width="13" customWidth="1" min="6" max="6"/>
    <col width="13" customWidth="1" min="7" max="7"/>
    <col width="13" customWidth="1" min="8" max="8"/>
    <col width="13" customWidth="1" min="9" max="9"/>
    <col width="16" customWidth="1" min="10" max="10"/>
    <col width="16" customWidth="1" min="11" max="11"/>
    <col width="12" customWidth="1" min="12" max="12"/>
    <col width="12" customWidth="1" min="13" max="13"/>
  </cols>
  <sheetData>
    <row r="1" ht="30" customHeight="1">
      <c r="A1" s="42" t="inlineStr">
        <is>
          <t>稳健性分析</t>
        </is>
      </c>
    </row>
    <row r="2" ht="32" customHeight="1">
      <c r="A2" s="44" t="inlineStr">
        <is>
          <t>本表报告全部设定的敏感性规格，用于比较估计方向、大小和不确定性。</t>
        </is>
      </c>
    </row>
    <row r="3">
      <c r="A3" s="43" t="n"/>
      <c r="B3" s="43" t="n"/>
      <c r="C3" s="43" t="n"/>
      <c r="D3" s="43" t="n"/>
      <c r="E3" s="43" t="n"/>
      <c r="F3" s="43" t="n"/>
      <c r="G3" s="43" t="n"/>
      <c r="H3" s="43" t="n"/>
      <c r="I3" s="43" t="n"/>
      <c r="J3" s="43" t="n"/>
      <c r="K3" s="43" t="n"/>
      <c r="L3" s="43" t="n"/>
      <c r="M3" s="43" t="n"/>
    </row>
    <row r="4" ht="32" customHeight="1">
      <c r="A4" s="46" t="inlineStr">
        <is>
          <t>模型</t>
        </is>
      </c>
      <c r="B4" s="46" t="inlineStr">
        <is>
          <t>政治体制项</t>
        </is>
      </c>
      <c r="C4" s="46" t="inlineStr">
        <is>
          <t>n</t>
        </is>
      </c>
      <c r="D4" s="46" t="inlineStr">
        <is>
          <t>df</t>
        </is>
      </c>
      <c r="E4" s="46" t="inlineStr">
        <is>
          <t>β</t>
        </is>
      </c>
      <c r="F4" s="46" t="inlineStr">
        <is>
          <t>经典SE</t>
        </is>
      </c>
      <c r="G4" s="46" t="inlineStr">
        <is>
          <t>经典p</t>
        </is>
      </c>
      <c r="H4" s="46" t="inlineStr">
        <is>
          <t>HC3 SE</t>
        </is>
      </c>
      <c r="I4" s="46" t="inlineStr">
        <is>
          <t>HC3 p</t>
        </is>
      </c>
      <c r="J4" s="46" t="inlineStr">
        <is>
          <t>HC3 95%CI下限</t>
        </is>
      </c>
      <c r="K4" s="46" t="inlineStr">
        <is>
          <t>HC3 95%CI上限</t>
        </is>
      </c>
      <c r="L4" s="46" t="inlineStr">
        <is>
          <t>R²</t>
        </is>
      </c>
      <c r="M4" s="46" t="inlineStr">
        <is>
          <t>调整R²</t>
        </is>
      </c>
    </row>
    <row r="5" ht="28" customHeight="1">
      <c r="A5" s="48" t="inlineStr">
        <is>
          <t>M2 Sensitivity: raw MMR, ordinal regime</t>
        </is>
      </c>
      <c r="B5" s="48" t="inlineStr">
        <is>
          <t>regime_code</t>
        </is>
      </c>
      <c r="C5" s="48" t="n">
        <v>166</v>
      </c>
      <c r="D5" s="48" t="n">
        <v>163</v>
      </c>
      <c r="E5" s="76" t="n">
        <v>-3.487377809125705</v>
      </c>
      <c r="F5" s="76" t="n">
        <v>10.61878206638417</v>
      </c>
      <c r="G5" s="77" t="n">
        <v>0.7430186723191619</v>
      </c>
      <c r="H5" s="76" t="n">
        <v>9.245487845639168</v>
      </c>
      <c r="I5" s="77" t="n">
        <v>0.7065172434197138</v>
      </c>
      <c r="J5" s="76" t="n">
        <v>-21.74374574191084</v>
      </c>
      <c r="K5" s="76" t="n">
        <v>14.76899012365943</v>
      </c>
      <c r="L5" s="76" t="n">
        <v>0.5203797240194991</v>
      </c>
      <c r="M5" s="76" t="n">
        <v>0.5144948126577751</v>
      </c>
    </row>
    <row r="6" ht="28" customHeight="1">
      <c r="A6" s="48" t="inlineStr">
        <is>
          <t>M3 Primary: CPR 2010-2023 latest</t>
        </is>
      </c>
      <c r="B6" s="48" t="inlineStr">
        <is>
          <t>regime_code</t>
        </is>
      </c>
      <c r="C6" s="48" t="n">
        <v>138</v>
      </c>
      <c r="D6" s="48" t="n">
        <v>135</v>
      </c>
      <c r="E6" s="76" t="n">
        <v>4.827299112462815</v>
      </c>
      <c r="F6" s="76" t="n">
        <v>1.677145235703393</v>
      </c>
      <c r="G6" s="77" t="n">
        <v>0.00465021353475013</v>
      </c>
      <c r="H6" s="76" t="n">
        <v>1.9817132798377</v>
      </c>
      <c r="I6" s="77" t="n">
        <v>0.01615778216759345</v>
      </c>
      <c r="J6" s="76" t="n">
        <v>0.908080063257922</v>
      </c>
      <c r="K6" s="76" t="n">
        <v>8.746518161667709</v>
      </c>
      <c r="L6" s="76" t="n">
        <v>0.3726022737484496</v>
      </c>
      <c r="M6" s="76" t="n">
        <v>0.3633074926187969</v>
      </c>
    </row>
    <row r="7" ht="28" customHeight="1">
      <c r="A7" s="48" t="inlineStr">
        <is>
          <t>M4 CPR + observation year</t>
        </is>
      </c>
      <c r="B7" s="48" t="inlineStr">
        <is>
          <t>regime_code</t>
        </is>
      </c>
      <c r="C7" s="48" t="n">
        <v>138</v>
      </c>
      <c r="D7" s="48" t="n">
        <v>134</v>
      </c>
      <c r="E7" s="76" t="n">
        <v>4.800465422538489</v>
      </c>
      <c r="F7" s="76" t="n">
        <v>1.686762133407764</v>
      </c>
      <c r="G7" s="77" t="n">
        <v>0.005124351403905187</v>
      </c>
      <c r="H7" s="76" t="n">
        <v>2.029920076102907</v>
      </c>
      <c r="I7" s="77" t="n">
        <v>0.01947173150128501</v>
      </c>
      <c r="J7" s="76" t="n">
        <v>0.7856372091986383</v>
      </c>
      <c r="K7" s="76" t="n">
        <v>8.815293635878339</v>
      </c>
      <c r="L7" s="76" t="n">
        <v>0.3728703606087355</v>
      </c>
      <c r="M7" s="76" t="n">
        <v>0.3588301448014684</v>
      </c>
    </row>
    <row r="8" ht="28" customHeight="1">
      <c r="A8" s="48" t="inlineStr">
        <is>
          <t>M5 CPR restricted to 2015-2023</t>
        </is>
      </c>
      <c r="B8" s="48" t="inlineStr">
        <is>
          <t>regime_code</t>
        </is>
      </c>
      <c r="C8" s="48" t="n">
        <v>109</v>
      </c>
      <c r="D8" s="48" t="n">
        <v>106</v>
      </c>
      <c r="E8" s="76" t="n">
        <v>3.265264592786442</v>
      </c>
      <c r="F8" s="76" t="n">
        <v>2.015267222240224</v>
      </c>
      <c r="G8" s="77" t="n">
        <v>0.1081468866726037</v>
      </c>
      <c r="H8" s="76" t="n">
        <v>2.361611343159751</v>
      </c>
      <c r="I8" s="77" t="n">
        <v>0.1696804824745745</v>
      </c>
      <c r="J8" s="76" t="n">
        <v>-1.416859589386042</v>
      </c>
      <c r="K8" s="76" t="n">
        <v>7.947388774958926</v>
      </c>
      <c r="L8" s="76" t="n">
        <v>0.3420399823357394</v>
      </c>
      <c r="M8" s="76" t="n">
        <v>0.32962564237981</v>
      </c>
    </row>
    <row r="9" ht="28" customHeight="1">
      <c r="A9" s="48" t="inlineStr">
        <is>
          <t>M6 log(MMR), regime categorical</t>
        </is>
      </c>
      <c r="B9" s="48" t="inlineStr">
        <is>
          <t>regime_1</t>
        </is>
      </c>
      <c r="C9" s="48" t="n">
        <v>166</v>
      </c>
      <c r="D9" s="48" t="n">
        <v>161</v>
      </c>
      <c r="E9" s="76" t="n">
        <v>0.1025613393220575</v>
      </c>
      <c r="F9" s="76" t="n">
        <v>0.2095317915793333</v>
      </c>
      <c r="G9" s="77" t="n">
        <v>0.6251690928932836</v>
      </c>
      <c r="H9" s="76" t="n">
        <v>0.2135355712501113</v>
      </c>
      <c r="I9" s="77" t="n">
        <v>0.6316653519575984</v>
      </c>
      <c r="J9" s="76" t="n">
        <v>-0.3191304346580481</v>
      </c>
      <c r="K9" s="76" t="n">
        <v>0.5242531133021633</v>
      </c>
      <c r="L9" s="76" t="n">
        <v>0.7322444819726752</v>
      </c>
      <c r="M9" s="76" t="n">
        <v>0.7255921709657851</v>
      </c>
    </row>
    <row r="10" ht="28" customHeight="1">
      <c r="A10" s="48" t="inlineStr">
        <is>
          <t>M6 log(MMR), regime categorical</t>
        </is>
      </c>
      <c r="B10" s="48" t="inlineStr">
        <is>
          <t>regime_2</t>
        </is>
      </c>
      <c r="C10" s="48" t="n">
        <v>166</v>
      </c>
      <c r="D10" s="48" t="n">
        <v>161</v>
      </c>
      <c r="E10" s="76" t="n">
        <v>-0.04554515388920801</v>
      </c>
      <c r="F10" s="76" t="n">
        <v>0.2091757792471332</v>
      </c>
      <c r="G10" s="77" t="n">
        <v>0.8279103139392886</v>
      </c>
      <c r="H10" s="76" t="n">
        <v>0.2035232822629966</v>
      </c>
      <c r="I10" s="77" t="n">
        <v>0.8232094756905551</v>
      </c>
      <c r="J10" s="76" t="n">
        <v>-0.4474645785606705</v>
      </c>
      <c r="K10" s="76" t="n">
        <v>0.3563742707822545</v>
      </c>
      <c r="L10" s="76" t="n">
        <v>0.7322444819726752</v>
      </c>
      <c r="M10" s="76" t="n">
        <v>0.7255921709657851</v>
      </c>
    </row>
    <row r="11" ht="28" customHeight="1">
      <c r="A11" s="48" t="inlineStr">
        <is>
          <t>M6 log(MMR), regime categorical</t>
        </is>
      </c>
      <c r="B11" s="48" t="inlineStr">
        <is>
          <t>regime_3</t>
        </is>
      </c>
      <c r="C11" s="48" t="n">
        <v>166</v>
      </c>
      <c r="D11" s="48" t="n">
        <v>161</v>
      </c>
      <c r="E11" s="76" t="n">
        <v>-0.1190141623358396</v>
      </c>
      <c r="F11" s="76" t="n">
        <v>0.2572468426227731</v>
      </c>
      <c r="G11" s="77" t="n">
        <v>0.6442429703785975</v>
      </c>
      <c r="H11" s="76" t="n">
        <v>0.2408543443488522</v>
      </c>
      <c r="I11" s="77" t="n">
        <v>0.6218855143669763</v>
      </c>
      <c r="J11" s="76" t="n">
        <v>-0.5946552704878838</v>
      </c>
      <c r="K11" s="76" t="n">
        <v>0.3566269458162046</v>
      </c>
      <c r="L11" s="76" t="n">
        <v>0.7322444819726752</v>
      </c>
      <c r="M11" s="76" t="n">
        <v>0.7255921709657851</v>
      </c>
    </row>
    <row r="12" ht="28" customHeight="1">
      <c r="A12" s="48" t="inlineStr">
        <is>
          <t>M7 CPR, regime categorical</t>
        </is>
      </c>
      <c r="B12" s="48" t="inlineStr">
        <is>
          <t>regime_1</t>
        </is>
      </c>
      <c r="C12" s="48" t="n">
        <v>138</v>
      </c>
      <c r="D12" s="48" t="n">
        <v>133</v>
      </c>
      <c r="E12" s="76" t="n">
        <v>3.390242900670279</v>
      </c>
      <c r="F12" s="76" t="n">
        <v>4.194920773895519</v>
      </c>
      <c r="G12" s="77" t="n">
        <v>0.4204312786389947</v>
      </c>
      <c r="H12" s="76" t="n">
        <v>4.942513645416465</v>
      </c>
      <c r="I12" s="77" t="n">
        <v>0.4939481018220622</v>
      </c>
      <c r="J12" s="76" t="n">
        <v>-6.385857637496304</v>
      </c>
      <c r="K12" s="76" t="n">
        <v>13.16634343883686</v>
      </c>
      <c r="L12" s="76" t="n">
        <v>0.3757463366090794</v>
      </c>
      <c r="M12" s="76" t="n">
        <v>0.3569717903416834</v>
      </c>
    </row>
    <row r="13" ht="28" customHeight="1">
      <c r="A13" s="48" t="inlineStr">
        <is>
          <t>M7 CPR, regime categorical</t>
        </is>
      </c>
      <c r="B13" s="48" t="inlineStr">
        <is>
          <t>regime_2</t>
        </is>
      </c>
      <c r="C13" s="48" t="n">
        <v>138</v>
      </c>
      <c r="D13" s="48" t="n">
        <v>133</v>
      </c>
      <c r="E13" s="76" t="n">
        <v>10.61306105515148</v>
      </c>
      <c r="F13" s="76" t="n">
        <v>4.254607365632218</v>
      </c>
      <c r="G13" s="77" t="n">
        <v>0.01383906559084393</v>
      </c>
      <c r="H13" s="76" t="n">
        <v>5.124688630907388</v>
      </c>
      <c r="I13" s="77" t="n">
        <v>0.04029533532894945</v>
      </c>
      <c r="J13" s="76" t="n">
        <v>0.4766254523867666</v>
      </c>
      <c r="K13" s="76" t="n">
        <v>20.7494966579162</v>
      </c>
      <c r="L13" s="76" t="n">
        <v>0.3757463366090794</v>
      </c>
      <c r="M13" s="76" t="n">
        <v>0.3569717903416834</v>
      </c>
    </row>
    <row r="14" ht="28" customHeight="1">
      <c r="A14" s="48" t="inlineStr">
        <is>
          <t>M7 CPR, regime categorical</t>
        </is>
      </c>
      <c r="B14" s="48" t="inlineStr">
        <is>
          <t>regime_3</t>
        </is>
      </c>
      <c r="C14" s="48" t="n">
        <v>138</v>
      </c>
      <c r="D14" s="48" t="n">
        <v>133</v>
      </c>
      <c r="E14" s="76" t="n">
        <v>12.47739202872073</v>
      </c>
      <c r="F14" s="76" t="n">
        <v>5.6393267458602</v>
      </c>
      <c r="G14" s="77" t="n">
        <v>0.02863329520569749</v>
      </c>
      <c r="H14" s="76" t="n">
        <v>6.382512244404956</v>
      </c>
      <c r="I14" s="77" t="n">
        <v>0.05268812120318175</v>
      </c>
      <c r="J14" s="76" t="n">
        <v>-0.1469699586753546</v>
      </c>
      <c r="K14" s="76" t="n">
        <v>25.10175401611682</v>
      </c>
      <c r="L14" s="76" t="n">
        <v>0.3757463366090794</v>
      </c>
      <c r="M14" s="76" t="n">
        <v>0.3569717903416834</v>
      </c>
    </row>
  </sheetData>
  <mergeCells count="2">
    <mergeCell ref="A2:Q2"/>
    <mergeCell ref="A1:Q1"/>
  </mergeCells>
  <pageMargins left="0.7" right="0.7" top="0.75" bottom="0.75" header="0.3" footer="0.3"/>
  <pageSetup orientation="landscape"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T33"/>
  <sheetViews>
    <sheetView showGridLines="1" workbookViewId="0">
      <selection activeCell="A1" sqref="A1"/>
    </sheetView>
  </sheetViews>
  <sheetFormatPr baseColWidth="8" defaultRowHeight="15"/>
  <cols>
    <col width="42" customWidth="1" min="1" max="1"/>
    <col width="14" customWidth="1" min="2" max="2"/>
    <col width="32" customWidth="1" min="3" max="3"/>
    <col width="19" customWidth="1" min="4" max="4"/>
    <col width="8" customWidth="1" min="5" max="5"/>
    <col width="8" customWidth="1" min="6" max="6"/>
    <col width="8" customWidth="1" min="7" max="7"/>
    <col width="13" customWidth="1" min="8" max="8"/>
    <col width="13" customWidth="1" min="9" max="9"/>
    <col width="13" customWidth="1" min="10" max="10"/>
    <col width="13" customWidth="1" min="11" max="11"/>
    <col width="14" customWidth="1" min="12" max="12"/>
    <col width="14" customWidth="1" min="13" max="13"/>
    <col width="13" customWidth="1" min="14" max="14"/>
    <col width="13" customWidth="1" min="15" max="15"/>
    <col width="13" customWidth="1" min="16" max="16"/>
    <col width="14" customWidth="1" min="17" max="17"/>
    <col width="14" customWidth="1" min="18" max="18"/>
    <col width="12" customWidth="1" min="19" max="19"/>
    <col width="12" customWidth="1" min="20" max="20"/>
  </cols>
  <sheetData>
    <row r="1" ht="30" customHeight="1">
      <c r="A1" s="42" t="inlineStr">
        <is>
          <t>OLS与HC3完整计算记录</t>
        </is>
      </c>
      <c r="R1" s="43" t="n"/>
      <c r="S1" s="43" t="n"/>
      <c r="T1" s="43" t="n"/>
    </row>
    <row r="2" ht="32" customHeight="1">
      <c r="A2" s="44" t="inlineStr">
        <is>
          <t>根据逐国底稿在外部统计程序中计算；p 值与 95% 置信区间均使用有限自由度 t 分布。下方给出计算公式与完整输出。</t>
        </is>
      </c>
      <c r="R2" s="43" t="n"/>
      <c r="S2" s="43" t="n"/>
      <c r="T2" s="43" t="n"/>
    </row>
    <row r="3">
      <c r="A3" s="43" t="n"/>
      <c r="B3" s="43" t="n"/>
      <c r="C3" s="43" t="n"/>
      <c r="D3" s="43" t="n"/>
      <c r="E3" s="43" t="n"/>
      <c r="F3" s="43" t="n"/>
      <c r="G3" s="43" t="n"/>
      <c r="H3" s="43" t="n"/>
      <c r="I3" s="43" t="n"/>
      <c r="J3" s="43" t="n"/>
      <c r="K3" s="43" t="n"/>
      <c r="L3" s="43" t="n"/>
      <c r="M3" s="43" t="n"/>
      <c r="N3" s="43" t="n"/>
      <c r="O3" s="43" t="n"/>
      <c r="P3" s="43" t="n"/>
      <c r="Q3" s="43" t="n"/>
      <c r="R3" s="43" t="n"/>
      <c r="S3" s="43" t="n"/>
      <c r="T3" s="43" t="n"/>
    </row>
    <row r="4" ht="42" customHeight="1">
      <c r="A4" s="46" t="inlineStr">
        <is>
          <t>模型</t>
        </is>
      </c>
      <c r="B4" s="46" t="inlineStr">
        <is>
          <t>因变量</t>
        </is>
      </c>
      <c r="C4" s="46" t="inlineStr">
        <is>
          <t>预测变量</t>
        </is>
      </c>
      <c r="D4" s="46" t="inlineStr">
        <is>
          <t>项</t>
        </is>
      </c>
      <c r="E4" s="46" t="inlineStr">
        <is>
          <t>n</t>
        </is>
      </c>
      <c r="F4" s="46" t="inlineStr">
        <is>
          <t>k</t>
        </is>
      </c>
      <c r="G4" s="46" t="inlineStr">
        <is>
          <t>df</t>
        </is>
      </c>
      <c r="H4" s="46" t="inlineStr">
        <is>
          <t>β</t>
        </is>
      </c>
      <c r="I4" s="46" t="inlineStr">
        <is>
          <t>经典SE</t>
        </is>
      </c>
      <c r="J4" s="46" t="inlineStr">
        <is>
          <t>经典t</t>
        </is>
      </c>
      <c r="K4" s="46" t="inlineStr">
        <is>
          <t>经典p</t>
        </is>
      </c>
      <c r="L4" s="46" t="inlineStr">
        <is>
          <t>经典CI下</t>
        </is>
      </c>
      <c r="M4" s="46" t="inlineStr">
        <is>
          <t>经典CI上</t>
        </is>
      </c>
      <c r="N4" s="46" t="inlineStr">
        <is>
          <t>HC3 SE</t>
        </is>
      </c>
      <c r="O4" s="46" t="inlineStr">
        <is>
          <t>HC3 t</t>
        </is>
      </c>
      <c r="P4" s="46" t="inlineStr">
        <is>
          <t>HC3 p</t>
        </is>
      </c>
      <c r="Q4" s="46" t="inlineStr">
        <is>
          <t>HC3 CI下</t>
        </is>
      </c>
      <c r="R4" s="46" t="inlineStr">
        <is>
          <t>HC3 CI上</t>
        </is>
      </c>
      <c r="S4" s="46" t="inlineStr">
        <is>
          <t>R²</t>
        </is>
      </c>
      <c r="T4" s="46" t="inlineStr">
        <is>
          <t>调整R²</t>
        </is>
      </c>
    </row>
    <row r="5">
      <c r="A5" s="48" t="inlineStr">
        <is>
          <t>M1 Primary: log(MMR), ordinal regime</t>
        </is>
      </c>
      <c r="B5" s="48" t="inlineStr">
        <is>
          <t>log_mmr</t>
        </is>
      </c>
      <c r="C5" s="48" t="inlineStr">
        <is>
          <t>regime_code + log_gdp</t>
        </is>
      </c>
      <c r="D5" s="48" t="inlineStr">
        <is>
          <t>Intercept</t>
        </is>
      </c>
      <c r="E5" s="48" t="n">
        <v>166</v>
      </c>
      <c r="F5" s="48" t="n">
        <v>3</v>
      </c>
      <c r="G5" s="48" t="n">
        <v>163</v>
      </c>
      <c r="H5" s="82" t="n">
        <v>15.25002011227093</v>
      </c>
      <c r="I5" s="82" t="n">
        <v>0.592408105544815</v>
      </c>
      <c r="J5" s="82" t="n">
        <v>25.74242311935632</v>
      </c>
      <c r="K5" s="83" t="n">
        <v>2.604644648227683e-59</v>
      </c>
      <c r="L5" s="82" t="n">
        <v>14.08023648140589</v>
      </c>
      <c r="M5" s="82" t="n">
        <v>16.41980374313596</v>
      </c>
      <c r="N5" s="82" t="n">
        <v>0.5285871637468168</v>
      </c>
      <c r="O5" s="82" t="n">
        <v>28.85053054291609</v>
      </c>
      <c r="P5" s="83" t="n">
        <v>6.189430474074346e-66</v>
      </c>
      <c r="Q5" s="82" t="n">
        <v>14.20625888441307</v>
      </c>
      <c r="R5" s="82" t="n">
        <v>16.29378134012878</v>
      </c>
      <c r="S5" s="82" t="n">
        <v>0.7311693238986037</v>
      </c>
      <c r="T5" s="82" t="n">
        <v>0.7278707879955191</v>
      </c>
    </row>
    <row r="6">
      <c r="A6" s="48" t="inlineStr">
        <is>
          <t>M1 Primary: log(MMR), ordinal regime</t>
        </is>
      </c>
      <c r="B6" s="48" t="inlineStr">
        <is>
          <t>log_mmr</t>
        </is>
      </c>
      <c r="C6" s="48" t="inlineStr">
        <is>
          <t>regime_code + log_gdp</t>
        </is>
      </c>
      <c r="D6" s="48" t="inlineStr">
        <is>
          <t>regime_code</t>
        </is>
      </c>
      <c r="E6" s="48" t="n">
        <v>166</v>
      </c>
      <c r="F6" s="48" t="n">
        <v>3</v>
      </c>
      <c r="G6" s="48" t="n">
        <v>163</v>
      </c>
      <c r="H6" s="82" t="n">
        <v>-0.05307168635970483</v>
      </c>
      <c r="I6" s="82" t="n">
        <v>0.07920164047038734</v>
      </c>
      <c r="J6" s="82" t="n">
        <v>-0.6700831705568999</v>
      </c>
      <c r="K6" s="83" t="n">
        <v>0.5037529732829312</v>
      </c>
      <c r="L6" s="82" t="n">
        <v>-0.2094651956529503</v>
      </c>
      <c r="M6" s="82" t="n">
        <v>0.1033218229335406</v>
      </c>
      <c r="N6" s="82" t="n">
        <v>0.07518112726812286</v>
      </c>
      <c r="O6" s="82" t="n">
        <v>-0.7059176722694269</v>
      </c>
      <c r="P6" s="83" t="n">
        <v>0.4812470390486583</v>
      </c>
      <c r="Q6" s="82" t="n">
        <v>-0.2015261912948643</v>
      </c>
      <c r="R6" s="82" t="n">
        <v>0.09538281857545461</v>
      </c>
      <c r="S6" s="82" t="n">
        <v>0.7311693238986037</v>
      </c>
      <c r="T6" s="82" t="n">
        <v>0.7278707879955191</v>
      </c>
    </row>
    <row r="7">
      <c r="A7" s="48" t="inlineStr">
        <is>
          <t>M1 Primary: log(MMR), ordinal regime</t>
        </is>
      </c>
      <c r="B7" s="48" t="inlineStr">
        <is>
          <t>log_mmr</t>
        </is>
      </c>
      <c r="C7" s="48" t="inlineStr">
        <is>
          <t>regime_code + log_gdp</t>
        </is>
      </c>
      <c r="D7" s="48" t="inlineStr">
        <is>
          <t>log_gdp</t>
        </is>
      </c>
      <c r="E7" s="48" t="n">
        <v>166</v>
      </c>
      <c r="F7" s="48" t="n">
        <v>3</v>
      </c>
      <c r="G7" s="48" t="n">
        <v>163</v>
      </c>
      <c r="H7" s="82" t="n">
        <v>-1.203359260253577</v>
      </c>
      <c r="I7" s="82" t="n">
        <v>0.0667300756369925</v>
      </c>
      <c r="J7" s="82" t="n">
        <v>-18.033236869081</v>
      </c>
      <c r="K7" s="83" t="n">
        <v>1.134586291950652e-40</v>
      </c>
      <c r="L7" s="82" t="n">
        <v>-1.335126110564903</v>
      </c>
      <c r="M7" s="82" t="n">
        <v>-1.071592409942252</v>
      </c>
      <c r="N7" s="82" t="n">
        <v>0.06114314994949469</v>
      </c>
      <c r="O7" s="82" t="n">
        <v>-19.68101514638309</v>
      </c>
      <c r="P7" s="83" t="n">
        <v>6.339479050637904e-45</v>
      </c>
      <c r="Q7" s="82" t="n">
        <v>-1.324094029546896</v>
      </c>
      <c r="R7" s="82" t="n">
        <v>-1.082624490960258</v>
      </c>
      <c r="S7" s="82" t="n">
        <v>0.7311693238986037</v>
      </c>
      <c r="T7" s="82" t="n">
        <v>0.7278707879955191</v>
      </c>
    </row>
    <row r="8">
      <c r="A8" s="48" t="inlineStr">
        <is>
          <t>M2 Sensitivity: raw MMR, ordinal regime</t>
        </is>
      </c>
      <c r="B8" s="48" t="inlineStr">
        <is>
          <t>mmr</t>
        </is>
      </c>
      <c r="C8" s="48" t="inlineStr">
        <is>
          <t>regime_code + log_gdp</t>
        </is>
      </c>
      <c r="D8" s="48" t="inlineStr">
        <is>
          <t>Intercept</t>
        </is>
      </c>
      <c r="E8" s="48" t="n">
        <v>166</v>
      </c>
      <c r="F8" s="48" t="n">
        <v>3</v>
      </c>
      <c r="G8" s="48" t="n">
        <v>163</v>
      </c>
      <c r="H8" s="82" t="n">
        <v>1103.087720548699</v>
      </c>
      <c r="I8" s="82" t="n">
        <v>79.42578625618133</v>
      </c>
      <c r="J8" s="82" t="n">
        <v>13.88828203715579</v>
      </c>
      <c r="K8" s="83" t="n">
        <v>1.939106379107027e-29</v>
      </c>
      <c r="L8" s="82" t="n">
        <v>946.2516074681399</v>
      </c>
      <c r="M8" s="82" t="n">
        <v>1259.923833629257</v>
      </c>
      <c r="N8" s="82" t="n">
        <v>98.59443328065854</v>
      </c>
      <c r="O8" s="82" t="n">
        <v>11.18813389198813</v>
      </c>
      <c r="P8" s="83" t="n">
        <v>6.371903403250571e-22</v>
      </c>
      <c r="Q8" s="82" t="n">
        <v>908.4007251031164</v>
      </c>
      <c r="R8" s="82" t="n">
        <v>1297.774715994281</v>
      </c>
      <c r="S8" s="82" t="n">
        <v>0.5203797240194991</v>
      </c>
      <c r="T8" s="82" t="n">
        <v>0.5144948126577751</v>
      </c>
    </row>
    <row r="9">
      <c r="A9" s="48" t="inlineStr">
        <is>
          <t>M2 Sensitivity: raw MMR, ordinal regime</t>
        </is>
      </c>
      <c r="B9" s="48" t="inlineStr">
        <is>
          <t>mmr</t>
        </is>
      </c>
      <c r="C9" s="48" t="inlineStr">
        <is>
          <t>regime_code + log_gdp</t>
        </is>
      </c>
      <c r="D9" s="48" t="inlineStr">
        <is>
          <t>regime_code</t>
        </is>
      </c>
      <c r="E9" s="48" t="n">
        <v>166</v>
      </c>
      <c r="F9" s="48" t="n">
        <v>3</v>
      </c>
      <c r="G9" s="48" t="n">
        <v>163</v>
      </c>
      <c r="H9" s="82" t="n">
        <v>-3.487377809125705</v>
      </c>
      <c r="I9" s="82" t="n">
        <v>10.61878206638417</v>
      </c>
      <c r="J9" s="82" t="n">
        <v>-0.3284159885120611</v>
      </c>
      <c r="K9" s="83" t="n">
        <v>0.7430186723191619</v>
      </c>
      <c r="L9" s="82" t="n">
        <v>-24.45548632201595</v>
      </c>
      <c r="M9" s="82" t="n">
        <v>17.48073070376454</v>
      </c>
      <c r="N9" s="82" t="n">
        <v>9.245487845639168</v>
      </c>
      <c r="O9" s="82" t="n">
        <v>-0.3771978144745062</v>
      </c>
      <c r="P9" s="83" t="n">
        <v>0.7065172434197138</v>
      </c>
      <c r="Q9" s="82" t="n">
        <v>-21.74374574191084</v>
      </c>
      <c r="R9" s="82" t="n">
        <v>14.76899012365943</v>
      </c>
      <c r="S9" s="82" t="n">
        <v>0.5203797240194991</v>
      </c>
      <c r="T9" s="82" t="n">
        <v>0.5144948126577751</v>
      </c>
    </row>
    <row r="10">
      <c r="A10" s="48" t="inlineStr">
        <is>
          <t>M2 Sensitivity: raw MMR, ordinal regime</t>
        </is>
      </c>
      <c r="B10" s="48" t="inlineStr">
        <is>
          <t>mmr</t>
        </is>
      </c>
      <c r="C10" s="48" t="inlineStr">
        <is>
          <t>regime_code + log_gdp</t>
        </is>
      </c>
      <c r="D10" s="48" t="inlineStr">
        <is>
          <t>log_gdp</t>
        </is>
      </c>
      <c r="E10" s="48" t="n">
        <v>166</v>
      </c>
      <c r="F10" s="48" t="n">
        <v>3</v>
      </c>
      <c r="G10" s="48" t="n">
        <v>163</v>
      </c>
      <c r="H10" s="82" t="n">
        <v>-102.3362546708231</v>
      </c>
      <c r="I10" s="82" t="n">
        <v>8.946685021347388</v>
      </c>
      <c r="J10" s="82" t="n">
        <v>-11.43845507320778</v>
      </c>
      <c r="K10" s="83" t="n">
        <v>1.288567573228617e-22</v>
      </c>
      <c r="L10" s="82" t="n">
        <v>-120.0025991899493</v>
      </c>
      <c r="M10" s="82" t="n">
        <v>-84.66991015169691</v>
      </c>
      <c r="N10" s="82" t="n">
        <v>10.15821036172587</v>
      </c>
      <c r="O10" s="82" t="n">
        <v>-10.07424054303954</v>
      </c>
      <c r="P10" s="83" t="n">
        <v>7.344032129250555e-19</v>
      </c>
      <c r="Q10" s="82" t="n">
        <v>-122.3949069559776</v>
      </c>
      <c r="R10" s="82" t="n">
        <v>-82.27760238566864</v>
      </c>
      <c r="S10" s="82" t="n">
        <v>0.5203797240194991</v>
      </c>
      <c r="T10" s="82" t="n">
        <v>0.5144948126577751</v>
      </c>
    </row>
    <row r="11">
      <c r="A11" s="48" t="inlineStr">
        <is>
          <t>M3 Primary: CPR 2010-2023 latest</t>
        </is>
      </c>
      <c r="B11" s="48" t="inlineStr">
        <is>
          <t>cpr</t>
        </is>
      </c>
      <c r="C11" s="48" t="inlineStr">
        <is>
          <t>regime_code + log_gdp</t>
        </is>
      </c>
      <c r="D11" s="48" t="inlineStr">
        <is>
          <t>Intercept</t>
        </is>
      </c>
      <c r="E11" s="48" t="n">
        <v>138</v>
      </c>
      <c r="F11" s="48" t="n">
        <v>3</v>
      </c>
      <c r="G11" s="48" t="n">
        <v>135</v>
      </c>
      <c r="H11" s="82" t="n">
        <v>-39.68471042393156</v>
      </c>
      <c r="I11" s="82" t="n">
        <v>12.57975668124696</v>
      </c>
      <c r="J11" s="82" t="n">
        <v>-3.154648490387004</v>
      </c>
      <c r="K11" s="83" t="n">
        <v>0.001981281589334687</v>
      </c>
      <c r="L11" s="82" t="n">
        <v>-64.56359806177565</v>
      </c>
      <c r="M11" s="82" t="n">
        <v>-14.80582278608747</v>
      </c>
      <c r="N11" s="82" t="n">
        <v>12.83374750228946</v>
      </c>
      <c r="O11" s="82" t="n">
        <v>-3.092215303195896</v>
      </c>
      <c r="P11" s="83" t="n">
        <v>0.002414339244272584</v>
      </c>
      <c r="Q11" s="82" t="n">
        <v>-65.06591374703687</v>
      </c>
      <c r="R11" s="82" t="n">
        <v>-14.30350710082626</v>
      </c>
      <c r="S11" s="82" t="n">
        <v>0.3726022737484496</v>
      </c>
      <c r="T11" s="82" t="n">
        <v>0.3633074926187969</v>
      </c>
    </row>
    <row r="12">
      <c r="A12" s="48" t="inlineStr">
        <is>
          <t>M3 Primary: CPR 2010-2023 latest</t>
        </is>
      </c>
      <c r="B12" s="48" t="inlineStr">
        <is>
          <t>cpr</t>
        </is>
      </c>
      <c r="C12" s="48" t="inlineStr">
        <is>
          <t>regime_code + log_gdp</t>
        </is>
      </c>
      <c r="D12" s="48" t="inlineStr">
        <is>
          <t>regime_code</t>
        </is>
      </c>
      <c r="E12" s="48" t="n">
        <v>138</v>
      </c>
      <c r="F12" s="48" t="n">
        <v>3</v>
      </c>
      <c r="G12" s="48" t="n">
        <v>135</v>
      </c>
      <c r="H12" s="82" t="n">
        <v>4.827299112462815</v>
      </c>
      <c r="I12" s="82" t="n">
        <v>1.677145235703393</v>
      </c>
      <c r="J12" s="82" t="n">
        <v>2.878283293359654</v>
      </c>
      <c r="K12" s="83" t="n">
        <v>0.00465021353475013</v>
      </c>
      <c r="L12" s="82" t="n">
        <v>1.510421932031195</v>
      </c>
      <c r="M12" s="82" t="n">
        <v>8.144176292894436</v>
      </c>
      <c r="N12" s="82" t="n">
        <v>1.9817132798377</v>
      </c>
      <c r="O12" s="82" t="n">
        <v>2.435922068836399</v>
      </c>
      <c r="P12" s="83" t="n">
        <v>0.01615778216759345</v>
      </c>
      <c r="Q12" s="82" t="n">
        <v>0.908080063257922</v>
      </c>
      <c r="R12" s="82" t="n">
        <v>8.746518161667709</v>
      </c>
      <c r="S12" s="82" t="n">
        <v>0.3726022737484496</v>
      </c>
      <c r="T12" s="82" t="n">
        <v>0.3633074926187969</v>
      </c>
    </row>
    <row r="13">
      <c r="A13" s="48" t="inlineStr">
        <is>
          <t>M3 Primary: CPR 2010-2023 latest</t>
        </is>
      </c>
      <c r="B13" s="48" t="inlineStr">
        <is>
          <t>cpr</t>
        </is>
      </c>
      <c r="C13" s="48" t="inlineStr">
        <is>
          <t>regime_code + log_gdp</t>
        </is>
      </c>
      <c r="D13" s="48" t="inlineStr">
        <is>
          <t>log_gdp</t>
        </is>
      </c>
      <c r="E13" s="48" t="n">
        <v>138</v>
      </c>
      <c r="F13" s="48" t="n">
        <v>3</v>
      </c>
      <c r="G13" s="48" t="n">
        <v>135</v>
      </c>
      <c r="H13" s="82" t="n">
        <v>8.820276715945392</v>
      </c>
      <c r="I13" s="82" t="n">
        <v>1.44175195040604</v>
      </c>
      <c r="J13" s="82" t="n">
        <v>6.117749113126805</v>
      </c>
      <c r="K13" s="83" t="n">
        <v>9.629503374636667e-09</v>
      </c>
      <c r="L13" s="82" t="n">
        <v>5.968935017956452</v>
      </c>
      <c r="M13" s="82" t="n">
        <v>11.67161841393433</v>
      </c>
      <c r="N13" s="82" t="n">
        <v>1.584436436628153</v>
      </c>
      <c r="O13" s="82" t="n">
        <v>5.566822696097462</v>
      </c>
      <c r="P13" s="83" t="n">
        <v>1.347784295869305e-07</v>
      </c>
      <c r="Q13" s="82" t="n">
        <v>5.686749011475474</v>
      </c>
      <c r="R13" s="82" t="n">
        <v>11.95380442041531</v>
      </c>
      <c r="S13" s="82" t="n">
        <v>0.3726022737484496</v>
      </c>
      <c r="T13" s="82" t="n">
        <v>0.3633074926187969</v>
      </c>
    </row>
    <row r="14">
      <c r="A14" s="48" t="inlineStr">
        <is>
          <t>M4 CPR + observation year</t>
        </is>
      </c>
      <c r="B14" s="48" t="inlineStr">
        <is>
          <t>cpr</t>
        </is>
      </c>
      <c r="C14" s="48" t="inlineStr">
        <is>
          <t>regime_code + log_gdp + cpr_year_centered_2018</t>
        </is>
      </c>
      <c r="D14" s="48" t="inlineStr">
        <is>
          <t>Intercept</t>
        </is>
      </c>
      <c r="E14" s="48" t="n">
        <v>138</v>
      </c>
      <c r="F14" s="48" t="n">
        <v>4</v>
      </c>
      <c r="G14" s="48" t="n">
        <v>134</v>
      </c>
      <c r="H14" s="82" t="n">
        <v>-38.76032599647121</v>
      </c>
      <c r="I14" s="82" t="n">
        <v>13.20152079383328</v>
      </c>
      <c r="J14" s="82" t="n">
        <v>-2.936050065881577</v>
      </c>
      <c r="K14" s="83" t="n">
        <v>0.003913538101254051</v>
      </c>
      <c r="L14" s="82" t="n">
        <v>-64.87063386821208</v>
      </c>
      <c r="M14" s="82" t="n">
        <v>-12.65001812473034</v>
      </c>
      <c r="N14" s="82" t="n">
        <v>13.51527026127204</v>
      </c>
      <c r="O14" s="82" t="n">
        <v>-2.867891299779539</v>
      </c>
      <c r="P14" s="83" t="n">
        <v>0.00480162325258804</v>
      </c>
      <c r="Q14" s="82" t="n">
        <v>-65.49117564649322</v>
      </c>
      <c r="R14" s="82" t="n">
        <v>-12.0294763464492</v>
      </c>
      <c r="S14" s="82" t="n">
        <v>0.3728703606087355</v>
      </c>
      <c r="T14" s="82" t="n">
        <v>0.3588301448014684</v>
      </c>
    </row>
    <row r="15">
      <c r="A15" s="48" t="inlineStr">
        <is>
          <t>M4 CPR + observation year</t>
        </is>
      </c>
      <c r="B15" s="48" t="inlineStr">
        <is>
          <t>cpr</t>
        </is>
      </c>
      <c r="C15" s="48" t="inlineStr">
        <is>
          <t>regime_code + log_gdp + cpr_year_centered_2018</t>
        </is>
      </c>
      <c r="D15" s="48" t="inlineStr">
        <is>
          <t>regime_code</t>
        </is>
      </c>
      <c r="E15" s="48" t="n">
        <v>138</v>
      </c>
      <c r="F15" s="48" t="n">
        <v>4</v>
      </c>
      <c r="G15" s="48" t="n">
        <v>134</v>
      </c>
      <c r="H15" s="82" t="n">
        <v>4.800465422538489</v>
      </c>
      <c r="I15" s="82" t="n">
        <v>1.686762133407764</v>
      </c>
      <c r="J15" s="82" t="n">
        <v>2.845964660612882</v>
      </c>
      <c r="K15" s="83" t="n">
        <v>0.005124351403905187</v>
      </c>
      <c r="L15" s="82" t="n">
        <v>1.464343827347418</v>
      </c>
      <c r="M15" s="82" t="n">
        <v>8.136587017729561</v>
      </c>
      <c r="N15" s="82" t="n">
        <v>2.029920076102907</v>
      </c>
      <c r="O15" s="82" t="n">
        <v>2.36485439946707</v>
      </c>
      <c r="P15" s="83" t="n">
        <v>0.01947173150128501</v>
      </c>
      <c r="Q15" s="82" t="n">
        <v>0.7856372091986383</v>
      </c>
      <c r="R15" s="82" t="n">
        <v>8.815293635878339</v>
      </c>
      <c r="S15" s="82" t="n">
        <v>0.3728703606087355</v>
      </c>
      <c r="T15" s="82" t="n">
        <v>0.3588301448014684</v>
      </c>
    </row>
    <row r="16">
      <c r="A16" s="48" t="inlineStr">
        <is>
          <t>M4 CPR + observation year</t>
        </is>
      </c>
      <c r="B16" s="48" t="inlineStr">
        <is>
          <t>cpr</t>
        </is>
      </c>
      <c r="C16" s="48" t="inlineStr">
        <is>
          <t>regime_code + log_gdp + cpr_year_centered_2018</t>
        </is>
      </c>
      <c r="D16" s="48" t="inlineStr">
        <is>
          <t>log_gdp</t>
        </is>
      </c>
      <c r="E16" s="48" t="n">
        <v>138</v>
      </c>
      <c r="F16" s="48" t="n">
        <v>4</v>
      </c>
      <c r="G16" s="48" t="n">
        <v>134</v>
      </c>
      <c r="H16" s="82" t="n">
        <v>8.722590334327881</v>
      </c>
      <c r="I16" s="82" t="n">
        <v>1.503281299972129</v>
      </c>
      <c r="J16" s="82" t="n">
        <v>5.802367351000505</v>
      </c>
      <c r="K16" s="83" t="n">
        <v>4.489985580014114e-08</v>
      </c>
      <c r="L16" s="82" t="n">
        <v>5.74936185761797</v>
      </c>
      <c r="M16" s="82" t="n">
        <v>11.69581881103779</v>
      </c>
      <c r="N16" s="82" t="n">
        <v>1.631349356780588</v>
      </c>
      <c r="O16" s="82" t="n">
        <v>5.346856145848252</v>
      </c>
      <c r="P16" s="83" t="n">
        <v>3.750510097372652e-07</v>
      </c>
      <c r="Q16" s="82" t="n">
        <v>5.496065556076221</v>
      </c>
      <c r="R16" s="82" t="n">
        <v>11.94911511257954</v>
      </c>
      <c r="S16" s="82" t="n">
        <v>0.3728703606087355</v>
      </c>
      <c r="T16" s="82" t="n">
        <v>0.3588301448014684</v>
      </c>
    </row>
    <row r="17">
      <c r="A17" s="48" t="inlineStr">
        <is>
          <t>M4 CPR + observation year</t>
        </is>
      </c>
      <c r="B17" s="48" t="inlineStr">
        <is>
          <t>cpr</t>
        </is>
      </c>
      <c r="C17" s="48" t="inlineStr">
        <is>
          <t>regime_code + log_gdp + cpr_year_centered_2018</t>
        </is>
      </c>
      <c r="D17" s="48" t="inlineStr">
        <is>
          <t>cpr_year_centered_2018</t>
        </is>
      </c>
      <c r="E17" s="48" t="n">
        <v>138</v>
      </c>
      <c r="F17" s="48" t="n">
        <v>4</v>
      </c>
      <c r="G17" s="48" t="n">
        <v>134</v>
      </c>
      <c r="H17" s="82" t="n">
        <v>-0.10157059787539</v>
      </c>
      <c r="I17" s="82" t="n">
        <v>0.424381563870891</v>
      </c>
      <c r="J17" s="82" t="n">
        <v>-0.2393379131481091</v>
      </c>
      <c r="K17" s="83" t="n">
        <v>0.8112092587315769</v>
      </c>
      <c r="L17" s="82" t="n">
        <v>-0.9409233861492895</v>
      </c>
      <c r="M17" s="82" t="n">
        <v>0.7377821903985095</v>
      </c>
      <c r="N17" s="82" t="n">
        <v>0.468549837970239</v>
      </c>
      <c r="O17" s="82" t="n">
        <v>-0.2167765083761303</v>
      </c>
      <c r="P17" s="83" t="n">
        <v>0.8287122086295647</v>
      </c>
      <c r="Q17" s="82" t="n">
        <v>-1.028280536352478</v>
      </c>
      <c r="R17" s="82" t="n">
        <v>0.8251393406016982</v>
      </c>
      <c r="S17" s="82" t="n">
        <v>0.3728703606087355</v>
      </c>
      <c r="T17" s="82" t="n">
        <v>0.3588301448014684</v>
      </c>
    </row>
    <row r="18">
      <c r="A18" s="48" t="inlineStr">
        <is>
          <t>M5 CPR restricted to 2015-2023</t>
        </is>
      </c>
      <c r="B18" s="48" t="inlineStr">
        <is>
          <t>cpr</t>
        </is>
      </c>
      <c r="C18" s="48" t="inlineStr">
        <is>
          <t>regime_code + log_gdp</t>
        </is>
      </c>
      <c r="D18" s="48" t="inlineStr">
        <is>
          <t>Intercept</t>
        </is>
      </c>
      <c r="E18" s="48" t="n">
        <v>109</v>
      </c>
      <c r="F18" s="48" t="n">
        <v>3</v>
      </c>
      <c r="G18" s="48" t="n">
        <v>106</v>
      </c>
      <c r="H18" s="82" t="n">
        <v>-44.28433147638727</v>
      </c>
      <c r="I18" s="82" t="n">
        <v>14.49732950259357</v>
      </c>
      <c r="J18" s="82" t="n">
        <v>-3.054654408487081</v>
      </c>
      <c r="K18" s="83" t="n">
        <v>0.002850062736294063</v>
      </c>
      <c r="L18" s="82" t="n">
        <v>-73.0266972503411</v>
      </c>
      <c r="M18" s="82" t="n">
        <v>-15.54196570243344</v>
      </c>
      <c r="N18" s="82" t="n">
        <v>15.18608237352764</v>
      </c>
      <c r="O18" s="82" t="n">
        <v>-2.916112950472577</v>
      </c>
      <c r="P18" s="83" t="n">
        <v>0.004326153301650633</v>
      </c>
      <c r="Q18" s="82" t="n">
        <v>-74.39221680625008</v>
      </c>
      <c r="R18" s="82" t="n">
        <v>-14.17644614652446</v>
      </c>
      <c r="S18" s="82" t="n">
        <v>0.3420399823357394</v>
      </c>
      <c r="T18" s="82" t="n">
        <v>0.32962564237981</v>
      </c>
    </row>
    <row r="19">
      <c r="A19" s="48" t="inlineStr">
        <is>
          <t>M5 CPR restricted to 2015-2023</t>
        </is>
      </c>
      <c r="B19" s="48" t="inlineStr">
        <is>
          <t>cpr</t>
        </is>
      </c>
      <c r="C19" s="48" t="inlineStr">
        <is>
          <t>regime_code + log_gdp</t>
        </is>
      </c>
      <c r="D19" s="48" t="inlineStr">
        <is>
          <t>regime_code</t>
        </is>
      </c>
      <c r="E19" s="48" t="n">
        <v>109</v>
      </c>
      <c r="F19" s="48" t="n">
        <v>3</v>
      </c>
      <c r="G19" s="48" t="n">
        <v>106</v>
      </c>
      <c r="H19" s="82" t="n">
        <v>3.265264592786442</v>
      </c>
      <c r="I19" s="82" t="n">
        <v>2.015267222240224</v>
      </c>
      <c r="J19" s="82" t="n">
        <v>1.620263832384813</v>
      </c>
      <c r="K19" s="83" t="n">
        <v>0.1081468866726037</v>
      </c>
      <c r="L19" s="82" t="n">
        <v>-0.7301986836415293</v>
      </c>
      <c r="M19" s="82" t="n">
        <v>7.260727869214413</v>
      </c>
      <c r="N19" s="82" t="n">
        <v>2.361611343159751</v>
      </c>
      <c r="O19" s="82" t="n">
        <v>1.3826426614371</v>
      </c>
      <c r="P19" s="83" t="n">
        <v>0.1696804824745745</v>
      </c>
      <c r="Q19" s="82" t="n">
        <v>-1.416859589386042</v>
      </c>
      <c r="R19" s="82" t="n">
        <v>7.947388774958926</v>
      </c>
      <c r="S19" s="82" t="n">
        <v>0.3420399823357394</v>
      </c>
      <c r="T19" s="82" t="n">
        <v>0.32962564237981</v>
      </c>
    </row>
    <row r="20">
      <c r="A20" s="48" t="inlineStr">
        <is>
          <t>M5 CPR restricted to 2015-2023</t>
        </is>
      </c>
      <c r="B20" s="48" t="inlineStr">
        <is>
          <t>cpr</t>
        </is>
      </c>
      <c r="C20" s="48" t="inlineStr">
        <is>
          <t>regime_code + log_gdp</t>
        </is>
      </c>
      <c r="D20" s="48" t="inlineStr">
        <is>
          <t>log_gdp</t>
        </is>
      </c>
      <c r="E20" s="48" t="n">
        <v>109</v>
      </c>
      <c r="F20" s="48" t="n">
        <v>3</v>
      </c>
      <c r="G20" s="48" t="n">
        <v>106</v>
      </c>
      <c r="H20" s="82" t="n">
        <v>9.548833951877022</v>
      </c>
      <c r="I20" s="82" t="n">
        <v>1.697776559448121</v>
      </c>
      <c r="J20" s="82" t="n">
        <v>5.624317227574966</v>
      </c>
      <c r="K20" s="83" t="n">
        <v>1.527214833172684e-07</v>
      </c>
      <c r="L20" s="82" t="n">
        <v>6.182826794119258</v>
      </c>
      <c r="M20" s="82" t="n">
        <v>12.91484110963479</v>
      </c>
      <c r="N20" s="82" t="n">
        <v>1.892365996366135</v>
      </c>
      <c r="O20" s="82" t="n">
        <v>5.045976291168525</v>
      </c>
      <c r="P20" s="83" t="n">
        <v>1.879938483478784e-06</v>
      </c>
      <c r="Q20" s="82" t="n">
        <v>5.797034309327857</v>
      </c>
      <c r="R20" s="82" t="n">
        <v>13.30063359442619</v>
      </c>
      <c r="S20" s="82" t="n">
        <v>0.3420399823357394</v>
      </c>
      <c r="T20" s="82" t="n">
        <v>0.32962564237981</v>
      </c>
    </row>
    <row r="21">
      <c r="A21" s="48" t="inlineStr">
        <is>
          <t>M6 log(MMR), regime categorical</t>
        </is>
      </c>
      <c r="B21" s="48" t="inlineStr">
        <is>
          <t>log_mmr</t>
        </is>
      </c>
      <c r="C21" s="48" t="inlineStr">
        <is>
          <t>regime_1 + regime_2 + regime_3 + log_gdp</t>
        </is>
      </c>
      <c r="D21" s="48" t="inlineStr">
        <is>
          <t>Intercept</t>
        </is>
      </c>
      <c r="E21" s="48" t="n">
        <v>166</v>
      </c>
      <c r="F21" s="48" t="n">
        <v>5</v>
      </c>
      <c r="G21" s="48" t="n">
        <v>161</v>
      </c>
      <c r="H21" s="82" t="n">
        <v>15.05633821835175</v>
      </c>
      <c r="I21" s="82" t="n">
        <v>0.6660149288462934</v>
      </c>
      <c r="J21" s="82" t="n">
        <v>22.60660769936965</v>
      </c>
      <c r="K21" s="83" t="n">
        <v>7.937573630988333e-52</v>
      </c>
      <c r="L21" s="82" t="n">
        <v>13.74108654764313</v>
      </c>
      <c r="M21" s="82" t="n">
        <v>16.37158988906036</v>
      </c>
      <c r="N21" s="82" t="n">
        <v>0.6221785001469085</v>
      </c>
      <c r="O21" s="82" t="n">
        <v>24.199386855696</v>
      </c>
      <c r="P21" s="83" t="n">
        <v>1.64165781038989e-55</v>
      </c>
      <c r="Q21" s="82" t="n">
        <v>13.82765508175188</v>
      </c>
      <c r="R21" s="82" t="n">
        <v>16.28502135495162</v>
      </c>
      <c r="S21" s="82" t="n">
        <v>0.7322444819726752</v>
      </c>
      <c r="T21" s="82" t="n">
        <v>0.7255921709657851</v>
      </c>
    </row>
    <row r="22">
      <c r="A22" s="48" t="inlineStr">
        <is>
          <t>M6 log(MMR), regime categorical</t>
        </is>
      </c>
      <c r="B22" s="48" t="inlineStr">
        <is>
          <t>log_mmr</t>
        </is>
      </c>
      <c r="C22" s="48" t="inlineStr">
        <is>
          <t>regime_1 + regime_2 + regime_3 + log_gdp</t>
        </is>
      </c>
      <c r="D22" s="48" t="inlineStr">
        <is>
          <t>regime_1</t>
        </is>
      </c>
      <c r="E22" s="48" t="n">
        <v>166</v>
      </c>
      <c r="F22" s="48" t="n">
        <v>5</v>
      </c>
      <c r="G22" s="48" t="n">
        <v>161</v>
      </c>
      <c r="H22" s="82" t="n">
        <v>0.1025613393220575</v>
      </c>
      <c r="I22" s="82" t="n">
        <v>0.2095317915793333</v>
      </c>
      <c r="J22" s="82" t="n">
        <v>0.4894786540458018</v>
      </c>
      <c r="K22" s="83" t="n">
        <v>0.6251690928932836</v>
      </c>
      <c r="L22" s="82" t="n">
        <v>-0.3112237381666317</v>
      </c>
      <c r="M22" s="82" t="n">
        <v>0.5163464168107468</v>
      </c>
      <c r="N22" s="82" t="n">
        <v>0.2135355712501113</v>
      </c>
      <c r="O22" s="82" t="n">
        <v>0.4803009574546661</v>
      </c>
      <c r="P22" s="83" t="n">
        <v>0.6316653519575984</v>
      </c>
      <c r="Q22" s="82" t="n">
        <v>-0.3191304346580481</v>
      </c>
      <c r="R22" s="82" t="n">
        <v>0.5242531133021633</v>
      </c>
      <c r="S22" s="82" t="n">
        <v>0.7322444819726752</v>
      </c>
      <c r="T22" s="82" t="n">
        <v>0.7255921709657851</v>
      </c>
    </row>
    <row r="23">
      <c r="A23" s="48" t="inlineStr">
        <is>
          <t>M6 log(MMR), regime categorical</t>
        </is>
      </c>
      <c r="B23" s="48" t="inlineStr">
        <is>
          <t>log_mmr</t>
        </is>
      </c>
      <c r="C23" s="48" t="inlineStr">
        <is>
          <t>regime_1 + regime_2 + regime_3 + log_gdp</t>
        </is>
      </c>
      <c r="D23" s="48" t="inlineStr">
        <is>
          <t>regime_2</t>
        </is>
      </c>
      <c r="E23" s="48" t="n">
        <v>166</v>
      </c>
      <c r="F23" s="48" t="n">
        <v>5</v>
      </c>
      <c r="G23" s="48" t="n">
        <v>161</v>
      </c>
      <c r="H23" s="82" t="n">
        <v>-0.04554515388920801</v>
      </c>
      <c r="I23" s="82" t="n">
        <v>0.2091757792471332</v>
      </c>
      <c r="J23" s="82" t="n">
        <v>-0.2177362697207794</v>
      </c>
      <c r="K23" s="83" t="n">
        <v>0.8279103139392886</v>
      </c>
      <c r="L23" s="82" t="n">
        <v>-0.4586271753435075</v>
      </c>
      <c r="M23" s="82" t="n">
        <v>0.3675368675650915</v>
      </c>
      <c r="N23" s="82" t="n">
        <v>0.2035232822629966</v>
      </c>
      <c r="O23" s="82" t="n">
        <v>-0.223783507138774</v>
      </c>
      <c r="P23" s="83" t="n">
        <v>0.8232094756905551</v>
      </c>
      <c r="Q23" s="82" t="n">
        <v>-0.4474645785606705</v>
      </c>
      <c r="R23" s="82" t="n">
        <v>0.3563742707822545</v>
      </c>
      <c r="S23" s="82" t="n">
        <v>0.7322444819726752</v>
      </c>
      <c r="T23" s="82" t="n">
        <v>0.7255921709657851</v>
      </c>
    </row>
    <row r="24">
      <c r="A24" s="48" t="inlineStr">
        <is>
          <t>M6 log(MMR), regime categorical</t>
        </is>
      </c>
      <c r="B24" s="48" t="inlineStr">
        <is>
          <t>log_mmr</t>
        </is>
      </c>
      <c r="C24" s="48" t="inlineStr">
        <is>
          <t>regime_1 + regime_2 + regime_3 + log_gdp</t>
        </is>
      </c>
      <c r="D24" s="48" t="inlineStr">
        <is>
          <t>regime_3</t>
        </is>
      </c>
      <c r="E24" s="48" t="n">
        <v>166</v>
      </c>
      <c r="F24" s="48" t="n">
        <v>5</v>
      </c>
      <c r="G24" s="48" t="n">
        <v>161</v>
      </c>
      <c r="H24" s="82" t="n">
        <v>-0.1190141623358396</v>
      </c>
      <c r="I24" s="82" t="n">
        <v>0.2572468426227731</v>
      </c>
      <c r="J24" s="82" t="n">
        <v>-0.4626457651430226</v>
      </c>
      <c r="K24" s="83" t="n">
        <v>0.6442429703785975</v>
      </c>
      <c r="L24" s="82" t="n">
        <v>-0.6270273087231383</v>
      </c>
      <c r="M24" s="82" t="n">
        <v>0.3889989840514591</v>
      </c>
      <c r="N24" s="82" t="n">
        <v>0.2408543443488522</v>
      </c>
      <c r="O24" s="82" t="n">
        <v>-0.4941333429446474</v>
      </c>
      <c r="P24" s="83" t="n">
        <v>0.6218855143669763</v>
      </c>
      <c r="Q24" s="82" t="n">
        <v>-0.5946552704878838</v>
      </c>
      <c r="R24" s="82" t="n">
        <v>0.3566269458162046</v>
      </c>
      <c r="S24" s="82" t="n">
        <v>0.7322444819726752</v>
      </c>
      <c r="T24" s="82" t="n">
        <v>0.7255921709657851</v>
      </c>
    </row>
    <row r="25">
      <c r="A25" s="48" t="inlineStr">
        <is>
          <t>M6 log(MMR), regime categorical</t>
        </is>
      </c>
      <c r="B25" s="48" t="inlineStr">
        <is>
          <t>log_mmr</t>
        </is>
      </c>
      <c r="C25" s="48" t="inlineStr">
        <is>
          <t>regime_1 + regime_2 + regime_3 + log_gdp</t>
        </is>
      </c>
      <c r="D25" s="48" t="inlineStr">
        <is>
          <t>log_gdp</t>
        </is>
      </c>
      <c r="E25" s="48" t="n">
        <v>166</v>
      </c>
      <c r="F25" s="48" t="n">
        <v>5</v>
      </c>
      <c r="G25" s="48" t="n">
        <v>161</v>
      </c>
      <c r="H25" s="82" t="n">
        <v>-1.191059260993163</v>
      </c>
      <c r="I25" s="82" t="n">
        <v>0.07057891447517314</v>
      </c>
      <c r="J25" s="82" t="n">
        <v>-16.87556786399895</v>
      </c>
      <c r="K25" s="83" t="n">
        <v>1.943408021082291e-37</v>
      </c>
      <c r="L25" s="82" t="n">
        <v>-1.330439072405311</v>
      </c>
      <c r="M25" s="82" t="n">
        <v>-1.051679449581014</v>
      </c>
      <c r="N25" s="82" t="n">
        <v>0.06698449995010695</v>
      </c>
      <c r="O25" s="82" t="n">
        <v>-17.78111745075826</v>
      </c>
      <c r="P25" s="83" t="n">
        <v>7.985742912957891e-40</v>
      </c>
      <c r="Q25" s="82" t="n">
        <v>-1.323340793516125</v>
      </c>
      <c r="R25" s="82" t="n">
        <v>-1.0587777284702</v>
      </c>
      <c r="S25" s="82" t="n">
        <v>0.7322444819726752</v>
      </c>
      <c r="T25" s="82" t="n">
        <v>0.7255921709657851</v>
      </c>
    </row>
    <row r="26">
      <c r="A26" s="48" t="inlineStr">
        <is>
          <t>M7 CPR, regime categorical</t>
        </is>
      </c>
      <c r="B26" s="48" t="inlineStr">
        <is>
          <t>cpr</t>
        </is>
      </c>
      <c r="C26" s="48" t="inlineStr">
        <is>
          <t>regime_1 + regime_2 + regime_3 + log_gdp</t>
        </is>
      </c>
      <c r="D26" s="48" t="inlineStr">
        <is>
          <t>Intercept</t>
        </is>
      </c>
      <c r="E26" s="48" t="n">
        <v>138</v>
      </c>
      <c r="F26" s="48" t="n">
        <v>5</v>
      </c>
      <c r="G26" s="48" t="n">
        <v>133</v>
      </c>
      <c r="H26" s="82" t="n">
        <v>-40.91246992030104</v>
      </c>
      <c r="I26" s="82" t="n">
        <v>14.43564817290128</v>
      </c>
      <c r="J26" s="82" t="n">
        <v>-2.834127669937418</v>
      </c>
      <c r="K26" s="83" t="n">
        <v>0.005312237804165203</v>
      </c>
      <c r="L26" s="82" t="n">
        <v>-69.46562282919751</v>
      </c>
      <c r="M26" s="82" t="n">
        <v>-12.35931701140458</v>
      </c>
      <c r="N26" s="82" t="n">
        <v>14.72884153952836</v>
      </c>
      <c r="O26" s="82" t="n">
        <v>-2.777711323086929</v>
      </c>
      <c r="P26" s="83" t="n">
        <v>0.006266026007361995</v>
      </c>
      <c r="Q26" s="82" t="n">
        <v>-70.04554795129161</v>
      </c>
      <c r="R26" s="82" t="n">
        <v>-11.77939188931047</v>
      </c>
      <c r="S26" s="82" t="n">
        <v>0.3757463366090794</v>
      </c>
      <c r="T26" s="82" t="n">
        <v>0.3569717903416834</v>
      </c>
    </row>
    <row r="27">
      <c r="A27" s="48" t="inlineStr">
        <is>
          <t>M7 CPR, regime categorical</t>
        </is>
      </c>
      <c r="B27" s="48" t="inlineStr">
        <is>
          <t>cpr</t>
        </is>
      </c>
      <c r="C27" s="48" t="inlineStr">
        <is>
          <t>regime_1 + regime_2 + regime_3 + log_gdp</t>
        </is>
      </c>
      <c r="D27" s="48" t="inlineStr">
        <is>
          <t>regime_1</t>
        </is>
      </c>
      <c r="E27" s="48" t="n">
        <v>138</v>
      </c>
      <c r="F27" s="48" t="n">
        <v>5</v>
      </c>
      <c r="G27" s="48" t="n">
        <v>133</v>
      </c>
      <c r="H27" s="82" t="n">
        <v>3.390242900670279</v>
      </c>
      <c r="I27" s="82" t="n">
        <v>4.194920773895519</v>
      </c>
      <c r="J27" s="82" t="n">
        <v>0.8081780523168274</v>
      </c>
      <c r="K27" s="83" t="n">
        <v>0.4204312786389947</v>
      </c>
      <c r="L27" s="82" t="n">
        <v>-4.907147896273203</v>
      </c>
      <c r="M27" s="82" t="n">
        <v>11.68763369761376</v>
      </c>
      <c r="N27" s="82" t="n">
        <v>4.942513645416465</v>
      </c>
      <c r="O27" s="82" t="n">
        <v>0.6859349602027474</v>
      </c>
      <c r="P27" s="83" t="n">
        <v>0.4939481018220622</v>
      </c>
      <c r="Q27" s="82" t="n">
        <v>-6.385857637496304</v>
      </c>
      <c r="R27" s="82" t="n">
        <v>13.16634343883686</v>
      </c>
      <c r="S27" s="82" t="n">
        <v>0.3757463366090794</v>
      </c>
      <c r="T27" s="82" t="n">
        <v>0.3569717903416834</v>
      </c>
    </row>
    <row r="28">
      <c r="A28" s="48" t="inlineStr">
        <is>
          <t>M7 CPR, regime categorical</t>
        </is>
      </c>
      <c r="B28" s="48" t="inlineStr">
        <is>
          <t>cpr</t>
        </is>
      </c>
      <c r="C28" s="48" t="inlineStr">
        <is>
          <t>regime_1 + regime_2 + regime_3 + log_gdp</t>
        </is>
      </c>
      <c r="D28" s="48" t="inlineStr">
        <is>
          <t>regime_2</t>
        </is>
      </c>
      <c r="E28" s="48" t="n">
        <v>138</v>
      </c>
      <c r="F28" s="48" t="n">
        <v>5</v>
      </c>
      <c r="G28" s="48" t="n">
        <v>133</v>
      </c>
      <c r="H28" s="82" t="n">
        <v>10.61306105515148</v>
      </c>
      <c r="I28" s="82" t="n">
        <v>4.254607365632218</v>
      </c>
      <c r="J28" s="82" t="n">
        <v>2.494486598430082</v>
      </c>
      <c r="K28" s="83" t="n">
        <v>0.01383906559084393</v>
      </c>
      <c r="L28" s="82" t="n">
        <v>2.197612491763675</v>
      </c>
      <c r="M28" s="82" t="n">
        <v>19.02850961853929</v>
      </c>
      <c r="N28" s="82" t="n">
        <v>5.124688630907388</v>
      </c>
      <c r="O28" s="82" t="n">
        <v>2.070967002979128</v>
      </c>
      <c r="P28" s="83" t="n">
        <v>0.04029533532894945</v>
      </c>
      <c r="Q28" s="82" t="n">
        <v>0.4766254523867666</v>
      </c>
      <c r="R28" s="82" t="n">
        <v>20.7494966579162</v>
      </c>
      <c r="S28" s="82" t="n">
        <v>0.3757463366090794</v>
      </c>
      <c r="T28" s="82" t="n">
        <v>0.3569717903416834</v>
      </c>
    </row>
    <row r="29">
      <c r="A29" s="48" t="inlineStr">
        <is>
          <t>M7 CPR, regime categorical</t>
        </is>
      </c>
      <c r="B29" s="48" t="inlineStr">
        <is>
          <t>cpr</t>
        </is>
      </c>
      <c r="C29" s="48" t="inlineStr">
        <is>
          <t>regime_1 + regime_2 + regime_3 + log_gdp</t>
        </is>
      </c>
      <c r="D29" s="48" t="inlineStr">
        <is>
          <t>regime_3</t>
        </is>
      </c>
      <c r="E29" s="48" t="n">
        <v>138</v>
      </c>
      <c r="F29" s="48" t="n">
        <v>5</v>
      </c>
      <c r="G29" s="48" t="n">
        <v>133</v>
      </c>
      <c r="H29" s="82" t="n">
        <v>12.47739202872073</v>
      </c>
      <c r="I29" s="82" t="n">
        <v>5.6393267458602</v>
      </c>
      <c r="J29" s="82" t="n">
        <v>2.21256766827358</v>
      </c>
      <c r="K29" s="83" t="n">
        <v>0.02863329520569749</v>
      </c>
      <c r="L29" s="82" t="n">
        <v>1.32302216952418</v>
      </c>
      <c r="M29" s="82" t="n">
        <v>23.63176188791729</v>
      </c>
      <c r="N29" s="82" t="n">
        <v>6.382512244404956</v>
      </c>
      <c r="O29" s="82" t="n">
        <v>1.954934287773389</v>
      </c>
      <c r="P29" s="83" t="n">
        <v>0.05268812120318175</v>
      </c>
      <c r="Q29" s="82" t="n">
        <v>-0.1469699586753546</v>
      </c>
      <c r="R29" s="82" t="n">
        <v>25.10175401611682</v>
      </c>
      <c r="S29" s="82" t="n">
        <v>0.3757463366090794</v>
      </c>
      <c r="T29" s="82" t="n">
        <v>0.3569717903416834</v>
      </c>
    </row>
    <row r="30">
      <c r="A30" s="48" t="inlineStr">
        <is>
          <t>M7 CPR, regime categorical</t>
        </is>
      </c>
      <c r="B30" s="48" t="inlineStr">
        <is>
          <t>cpr</t>
        </is>
      </c>
      <c r="C30" s="48" t="inlineStr">
        <is>
          <t>regime_1 + regime_2 + regime_3 + log_gdp</t>
        </is>
      </c>
      <c r="D30" s="48" t="inlineStr">
        <is>
          <t>log_gdp</t>
        </is>
      </c>
      <c r="E30" s="48" t="n">
        <v>138</v>
      </c>
      <c r="F30" s="48" t="n">
        <v>5</v>
      </c>
      <c r="G30" s="48" t="n">
        <v>133</v>
      </c>
      <c r="H30" s="82" t="n">
        <v>9.004782449908598</v>
      </c>
      <c r="I30" s="82" t="n">
        <v>1.559580511613726</v>
      </c>
      <c r="J30" s="82" t="n">
        <v>5.773849046492117</v>
      </c>
      <c r="K30" s="83" t="n">
        <v>5.206325296079878e-08</v>
      </c>
      <c r="L30" s="82" t="n">
        <v>5.919992609613407</v>
      </c>
      <c r="M30" s="82" t="n">
        <v>12.08957229020379</v>
      </c>
      <c r="N30" s="82" t="n">
        <v>1.696646776009946</v>
      </c>
      <c r="O30" s="82" t="n">
        <v>5.307399617429746</v>
      </c>
      <c r="P30" s="83" t="n">
        <v>4.527922108745579e-07</v>
      </c>
      <c r="Q30" s="82" t="n">
        <v>5.648880848015942</v>
      </c>
      <c r="R30" s="82" t="n">
        <v>12.36068405180125</v>
      </c>
      <c r="S30" s="82" t="n">
        <v>0.3757463366090794</v>
      </c>
      <c r="T30" s="82" t="n">
        <v>0.3569717903416834</v>
      </c>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row>
    <row r="33" ht="42" customHeight="1">
      <c r="A33" s="67" t="inlineStr">
        <is>
          <t>HC3: (X'X)^−1 X' diag[eᵢ²/(1−hᵢᵢ)²] X (X'X)^−1. Two-sided p = 2·Pr(Tdf ≥ |t|), df = n−k. 95% CI = β ± t0.975,df·SEHC3.</t>
        </is>
      </c>
    </row>
  </sheetData>
  <mergeCells count="3">
    <mergeCell ref="A2:Q2"/>
    <mergeCell ref="A1:Q1"/>
    <mergeCell ref="A33:T33"/>
  </mergeCells>
  <pageMargins left="0.7" right="0.7" top="0.75" bottom="0.75" header="0.3" footer="0.3"/>
  <pageSetup orientation="landscape"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Q8"/>
  <sheetViews>
    <sheetView showGridLines="1" workbookViewId="0">
      <selection activeCell="A1" sqref="A1"/>
    </sheetView>
  </sheetViews>
  <sheetFormatPr baseColWidth="8" defaultRowHeight="15"/>
  <cols>
    <col width="36" customWidth="1" min="1" max="1"/>
    <col width="42" customWidth="1" min="2" max="2"/>
    <col width="26" customWidth="1" min="3" max="3"/>
    <col width="28" customWidth="1" min="4" max="4"/>
    <col width="11" customWidth="1" min="5" max="5"/>
    <col width="10" customWidth="1" min="6" max="6"/>
    <col width="10" customWidth="1" min="7" max="7"/>
    <col width="62" customWidth="1" min="8" max="8"/>
    <col width="48" customWidth="1" min="9" max="9"/>
    <col width="34" customWidth="1" min="10" max="10"/>
    <col width="60" customWidth="1" min="11" max="11"/>
    <col width="88" customWidth="1" min="12" max="12"/>
    <col width="62" customWidth="1" min="13" max="13"/>
  </cols>
  <sheetData>
    <row r="1" ht="30" customHeight="1">
      <c r="A1" s="42" t="inlineStr">
        <is>
          <t>FemTech隐私证据矩阵</t>
        </is>
      </c>
    </row>
    <row r="2" ht="32" customHeight="1">
      <c r="A2" s="44" t="inlineStr">
        <is>
          <t>不同样本、方法和终点不合并为单一比例；每条记录保留各自的分子、分母与终点。</t>
        </is>
      </c>
    </row>
    <row r="3">
      <c r="A3" s="43" t="n"/>
      <c r="B3" s="43" t="n"/>
      <c r="C3" s="43" t="n"/>
      <c r="D3" s="43" t="n"/>
      <c r="E3" s="43" t="n"/>
      <c r="F3" s="43" t="n"/>
      <c r="G3" s="43" t="n"/>
      <c r="H3" s="43" t="n"/>
      <c r="I3" s="43" t="n"/>
      <c r="J3" s="43" t="n"/>
      <c r="K3" s="43" t="n"/>
      <c r="L3" s="43" t="n"/>
      <c r="M3" s="43" t="n"/>
    </row>
    <row r="4" ht="46" customHeight="1">
      <c r="A4" s="46" t="inlineStr">
        <is>
          <t>来源/案例</t>
        </is>
      </c>
      <c r="B4" s="46" t="inlineStr">
        <is>
          <t>研究对象</t>
        </is>
      </c>
      <c r="C4" s="46" t="inlineStr">
        <is>
          <t>平台</t>
        </is>
      </c>
      <c r="D4" s="46" t="inlineStr">
        <is>
          <t>地区</t>
        </is>
      </c>
      <c r="E4" s="46" t="inlineStr">
        <is>
          <t>样本量</t>
        </is>
      </c>
      <c r="F4" s="46" t="inlineStr">
        <is>
          <t>分子</t>
        </is>
      </c>
      <c r="G4" s="46" t="inlineStr">
        <is>
          <t>分母</t>
        </is>
      </c>
      <c r="H4" s="46" t="inlineStr">
        <is>
          <t>实际终点</t>
        </is>
      </c>
      <c r="I4" s="46" t="inlineStr">
        <is>
          <t>研究方法</t>
        </is>
      </c>
      <c r="J4" s="46" t="inlineStr">
        <is>
          <t>证据类型</t>
        </is>
      </c>
      <c r="K4" s="46" t="inlineStr">
        <is>
          <t>可比性限制</t>
        </is>
      </c>
      <c r="L4" s="46" t="inlineStr">
        <is>
          <t>原始链接</t>
        </is>
      </c>
      <c r="M4" s="46" t="inlineStr">
        <is>
          <t>后续整改/状态</t>
        </is>
      </c>
    </row>
    <row r="5" ht="108" customHeight="1">
      <c r="A5" s="48" t="inlineStr">
        <is>
          <t>Mozilla *Privacy Not Included* review</t>
        </is>
      </c>
      <c r="B5" s="48" t="inlineStr">
        <is>
          <t>20 period/pregnancy apps and 5 wearable devices</t>
        </is>
      </c>
      <c r="C5" s="48" t="inlineStr">
        <is>
          <t>Mobile apps and connected wearables</t>
        </is>
      </c>
      <c r="D5" s="48" t="inlineStr">
        <is>
          <t>Products available to US consumers</t>
        </is>
      </c>
      <c r="E5" s="48" t="n">
        <v>25</v>
      </c>
      <c r="F5" s="48" t="n">
        <v>18</v>
      </c>
      <c r="G5" s="48" t="n">
        <v>25</v>
      </c>
      <c r="H5" s="48" t="inlineStr">
        <is>
          <t>Products assigned Mozilla's *Privacy Not Included* warning</t>
        </is>
      </c>
      <c r="I5" s="48" t="inlineStr">
        <is>
          <t>Desk-based product privacy/security review against Mozilla criteria</t>
        </is>
      </c>
      <c r="J5" s="48" t="inlineStr">
        <is>
          <t>Independent civil-society review</t>
        </is>
      </c>
      <c r="K5" s="48" t="inlineStr">
        <is>
          <t>Includes 5 devices; warning criteria are not equivalent to observed third-party transmission.</t>
        </is>
      </c>
      <c r="L5" s="84" t="inlineStr">
        <is>
          <t>https://www.mozillafoundation.org/en/blog/in-post-roe-v-wade-era-mozilla-labels-18-of-25-popular-period-and-pregnancy-tracking-tech-with-privacy-not-included-warning/</t>
        </is>
      </c>
      <c r="M5" s="48" t="inlineStr">
        <is>
          <t>Product-level practices may have changed after 2022; the cited page is a contemporaneous review.</t>
        </is>
      </c>
    </row>
    <row r="6" ht="108" customHeight="1">
      <c r="A6" s="48" t="inlineStr">
        <is>
          <t>Grundy et al., BMJ (2019)</t>
        </is>
      </c>
      <c r="B6" s="48" t="inlineStr">
        <is>
          <t>24 medicines-related Android apps</t>
        </is>
      </c>
      <c r="C6" s="48" t="inlineStr">
        <is>
          <t>Android</t>
        </is>
      </c>
      <c r="D6" s="48" t="inlineStr">
        <is>
          <t>Apps available in four countries</t>
        </is>
      </c>
      <c r="E6" s="48" t="n">
        <v>24</v>
      </c>
      <c r="F6" s="48" t="n">
        <v>19</v>
      </c>
      <c r="G6" s="48" t="n">
        <v>24</v>
      </c>
      <c r="H6" s="48" t="inlineStr">
        <is>
          <t>Apps sharing user data outside the app ecosystem</t>
        </is>
      </c>
      <c r="I6" s="48" t="inlineStr">
        <is>
          <t>Traffic analysis plus network mapping of data recipients</t>
        </is>
      </c>
      <c r="J6" s="48" t="inlineStr">
        <is>
          <t>Peer-reviewed empirical study</t>
        </is>
      </c>
      <c r="K6" s="48" t="inlineStr">
        <is>
          <t>Not a reproductive-health-app sample; endpoint differs from Mozilla's warning label.</t>
        </is>
      </c>
      <c r="L6" s="84" t="inlineStr">
        <is>
          <t>https://www.bmj.com/content/364/bmj.l920</t>
        </is>
      </c>
      <c r="M6" s="48" t="inlineStr">
        <is>
          <t>No product-level remediation assessment in this workpaper.</t>
        </is>
      </c>
    </row>
    <row r="7" ht="108" customHeight="1">
      <c r="A7" s="48" t="inlineStr">
        <is>
          <t>FTC final order: Flo Health (2021)</t>
        </is>
      </c>
      <c r="B7" s="48" t="inlineStr">
        <is>
          <t>Flo period and ovulation tracking app</t>
        </is>
      </c>
      <c r="C7" s="48" t="inlineStr">
        <is>
          <t>Mobile app</t>
        </is>
      </c>
      <c r="D7" s="48" t="inlineStr">
        <is>
          <t>United States enforcement</t>
        </is>
      </c>
      <c r="E7" s="48" t="n"/>
      <c r="F7" s="48" t="n"/>
      <c r="G7" s="48" t="n"/>
      <c r="H7" s="48" t="inlineStr">
        <is>
          <t>Alleged disclosure of sensitive health data to analytics/marketing firms contrary to privacy promises</t>
        </is>
      </c>
      <c r="I7" s="48" t="inlineStr">
        <is>
          <t>Regulatory investigation and consent order</t>
        </is>
      </c>
      <c r="J7" s="48" t="inlineStr">
        <is>
          <t>Individual enforcement case</t>
        </is>
      </c>
      <c r="K7" s="48" t="inlineStr">
        <is>
          <t>A case, not a prevalence estimate; cannot be pooled with audit proportions.</t>
        </is>
      </c>
      <c r="L7" s="84" t="inlineStr">
        <is>
          <t>https://www.ftc.gov/news-events/news/press-releases/2021/06/ftc-finalizes-order-flo-health-fertility-tracking-app-shared-sensitive-health-data-facebook-google</t>
        </is>
      </c>
      <c r="M7" s="48" t="inlineStr">
        <is>
          <t>Flo states that an independent privacy review required by the order was completed in March 2022.</t>
        </is>
      </c>
    </row>
    <row r="8" ht="108" customHeight="1">
      <c r="A8" s="48" t="inlineStr">
        <is>
          <t>FTC proposed order: Premom/Easy Healthcare (2023)</t>
        </is>
      </c>
      <c r="B8" s="48" t="inlineStr">
        <is>
          <t>Premom ovulation tracking app</t>
        </is>
      </c>
      <c r="C8" s="48" t="inlineStr">
        <is>
          <t>Mobile app</t>
        </is>
      </c>
      <c r="D8" s="48" t="inlineStr">
        <is>
          <t>United States enforcement</t>
        </is>
      </c>
      <c r="E8" s="48" t="n"/>
      <c r="F8" s="48" t="n"/>
      <c r="G8" s="48" t="n"/>
      <c r="H8" s="48" t="inlineStr">
        <is>
          <t>Alleged sharing of sensitive health data; proposed order and US$100,000 civil penalty</t>
        </is>
      </c>
      <c r="I8" s="48" t="inlineStr">
        <is>
          <t>Regulatory investigation and proposed consent order</t>
        </is>
      </c>
      <c r="J8" s="48" t="inlineStr">
        <is>
          <t>Individual enforcement case</t>
        </is>
      </c>
      <c r="K8" s="48" t="inlineStr">
        <is>
          <t>A case, not a prevalence estimate; cannot be pooled with audit proportions.</t>
        </is>
      </c>
      <c r="L8" s="84" t="inlineStr">
        <is>
          <t>https://www.ftc.gov/news-events/news/press-releases/2023/05/ovulation-tracking-app-premom-will-be-barred-sharing-health-data-advertising-under-proposed-ftc</t>
        </is>
      </c>
      <c r="M8" s="48" t="inlineStr">
        <is>
          <t>The workpaper does not independently verify later compliance.</t>
        </is>
      </c>
    </row>
  </sheetData>
  <mergeCells count="2">
    <mergeCell ref="A2:Q2"/>
    <mergeCell ref="A1:Q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s>
  <pageMargins left="0.7" right="0.7" top="0.75" bottom="0.75" header="0.3" footer="0.3"/>
  <pageSetup orientation="landscape" fitToHeight="0" fitToWidth="1"/>
  <tableParts count="1">
    <tablePart xmlns:r="http://schemas.openxmlformats.org/officeDocument/2006/relationships" r:id="rId5"/>
  </tableParts>
</worksheet>
</file>

<file path=xl/worksheets/sheet11.xml><?xml version="1.0" encoding="utf-8"?>
<worksheet xmlns="http://schemas.openxmlformats.org/spreadsheetml/2006/main">
  <sheetPr>
    <outlinePr summaryBelow="1" summaryRight="1"/>
    <pageSetUpPr fitToPage="1"/>
  </sheetPr>
  <dimension ref="A1:Q13"/>
  <sheetViews>
    <sheetView showGridLines="1" workbookViewId="0">
      <selection activeCell="A1" sqref="A1"/>
    </sheetView>
  </sheetViews>
  <sheetFormatPr baseColWidth="8" defaultRowHeight="15"/>
  <cols>
    <col width="38" customWidth="1" min="1" max="1"/>
    <col width="18" customWidth="1" min="2" max="2"/>
    <col width="70" customWidth="1" min="3" max="3"/>
  </cols>
  <sheetData>
    <row r="1" ht="30" customHeight="1">
      <c r="A1" s="42" t="inlineStr">
        <is>
          <t>工作簿一致性检查</t>
        </is>
      </c>
    </row>
    <row r="2" ht="32" customHeight="1">
      <c r="A2" s="44" t="inlineStr">
        <is>
          <t>关键样本量、编码、缺失和公式错误检查；PASS表示当前工作簿内部一致。</t>
        </is>
      </c>
    </row>
    <row r="3">
      <c r="A3" s="43" t="n"/>
      <c r="B3" s="43" t="n"/>
      <c r="C3" s="43" t="n"/>
    </row>
    <row r="4" ht="32" customHeight="1">
      <c r="A4" s="46" t="inlineStr">
        <is>
          <t>检查项目</t>
        </is>
      </c>
      <c r="B4" s="46" t="inlineStr">
        <is>
          <t>状态</t>
        </is>
      </c>
      <c r="C4" s="46" t="inlineStr">
        <is>
          <t>含义</t>
        </is>
      </c>
    </row>
    <row r="5">
      <c r="A5" s="48" t="inlineStr">
        <is>
          <t>逐国底稿行数=167</t>
        </is>
      </c>
      <c r="B5" s="68">
        <f>IF(COUNTA('跨国底稿'!$A$5:$A$171)=167,"PASS","FAIL")</f>
        <v/>
      </c>
      <c r="C5" s="48" t="inlineStr">
        <is>
          <t>维持167国分析总体</t>
        </is>
      </c>
    </row>
    <row r="6">
      <c r="A6" s="48" t="inlineStr">
        <is>
          <t>MMR有效n=167</t>
        </is>
      </c>
      <c r="B6" s="68">
        <f>IF(COUNT('跨国底稿'!$C$5:$C$171)=167,"PASS","FAIL")</f>
        <v/>
      </c>
      <c r="C6" s="48" t="inlineStr">
        <is>
          <t>MMR数值完整</t>
        </is>
      </c>
    </row>
    <row r="7">
      <c r="A7" s="48" t="inlineStr">
        <is>
          <t>政治体制有效n=166</t>
        </is>
      </c>
      <c r="B7" s="68">
        <f>IF(COUNT('跨国底稿'!$H$5:$H$171)=166,"PASS","FAIL")</f>
        <v/>
      </c>
      <c r="C7" s="48" t="inlineStr">
        <is>
          <t>PSE统一值缺失</t>
        </is>
      </c>
    </row>
    <row r="8">
      <c r="A8" s="48" t="inlineStr">
        <is>
          <t>政治体制无范围外值</t>
        </is>
      </c>
      <c r="B8" s="68">
        <f>IF(COUNTIF('跨国底稿'!$H$5:$H$171,"&lt;0")+COUNTIF('跨国底稿'!$H$5:$H$171,"&gt;3")=0,"PASS","FAIL")</f>
        <v/>
      </c>
      <c r="C8" s="48" t="inlineStr">
        <is>
          <t>仅允许0/1/2/3或空白</t>
        </is>
      </c>
    </row>
    <row r="9">
      <c r="A9" s="48" t="inlineStr">
        <is>
          <t>CPR有效n=139</t>
        </is>
      </c>
      <c r="B9" s="68">
        <f>IF(COUNT('跨国底稿'!$K$5:$K$171)=139,"PASS","FAIL")</f>
        <v/>
      </c>
      <c r="C9" s="48" t="inlineStr">
        <is>
          <t>逐国CPR原始覆盖</t>
        </is>
      </c>
    </row>
    <row r="10">
      <c r="A10" s="48" t="inlineStr">
        <is>
          <t>CPR模型n=138</t>
        </is>
      </c>
      <c r="B10" s="68">
        <f>IF(COUNTIFS('跨国底稿'!$K$5:$K$171,"&lt;&gt;",'跨国底稿'!$H$5:$H$171,"&lt;&gt;")=138,"PASS","FAIL")</f>
        <v/>
      </c>
      <c r="C10" s="48" t="inlineStr">
        <is>
          <t>PSE因政治体制缺失再少1国</t>
        </is>
      </c>
    </row>
    <row r="11">
      <c r="A11" s="48" t="inlineStr">
        <is>
          <t>CPR缺失=28</t>
        </is>
      </c>
      <c r="B11" s="68">
        <f>IF(COUNTIF('跨国底稿'!$M$5:$M$171,"Missing")=28,"PASS","FAIL")</f>
        <v/>
      </c>
      <c r="C11" s="48" t="inlineStr">
        <is>
          <t>与刷新后的逐国表一致</t>
        </is>
      </c>
    </row>
    <row r="12">
      <c r="A12" s="48" t="inlineStr">
        <is>
          <t>CPR年份2010-2023</t>
        </is>
      </c>
      <c r="B12" s="68">
        <f>IF(AND(MIN('跨国底稿'!$L$5:$L$171)&gt;=2010,MAX('跨国底稿'!$L$5:$L$171)&lt;=2023),"PASS","FAIL")</f>
        <v/>
      </c>
      <c r="C12" s="48" t="inlineStr">
        <is>
          <t>主样本年份规则</t>
        </is>
      </c>
    </row>
    <row r="13">
      <c r="A13" s="48" t="inlineStr">
        <is>
          <t>无公式错误</t>
        </is>
      </c>
      <c r="B13" s="68">
        <f>IF(SUMPRODUCT(--ISERROR('跨国底稿'!$G$5:$G$171))+SUMPRODUCT(--ISERROR('跨国底稿'!$M$5:$N$171))=0,"PASS","FAIL")</f>
        <v/>
      </c>
      <c r="C13" s="48" t="inlineStr">
        <is>
          <t>关键公式列</t>
        </is>
      </c>
    </row>
  </sheetData>
  <mergeCells count="2">
    <mergeCell ref="A2:Q2"/>
    <mergeCell ref="A1:Q1"/>
  </mergeCells>
  <pageMargins left="0.7" right="0.7" top="0.75" bottom="0.75" header="0.3" footer="0.3"/>
  <pageSetup orientation="landscape"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H82"/>
  <sheetViews>
    <sheetView showGridLines="1" workbookViewId="0">
      <selection activeCell="A1" sqref="A1"/>
    </sheetView>
  </sheetViews>
  <sheetFormatPr baseColWidth="8" defaultRowHeight="15"/>
  <cols>
    <col width="118" customWidth="1" min="1" max="1"/>
  </cols>
  <sheetData>
    <row r="1">
      <c r="A1" s="86" t="inlineStr">
        <is>
          <t>分析复现说明</t>
        </is>
      </c>
    </row>
    <row r="2" ht="34" customHeight="1">
      <c r="A2" s="85" t="inlineStr">
        <is>
          <t>「模型结果」「稳健性分析」「模型输出与HC3结果」三表的数值由外部统计程序根据「跨国底稿」计算后录入，不随逐国数据自动重算。下列代码可在任意装有 NumPy 的 Python 3 环境中完整复现三表全部数值。</t>
        </is>
      </c>
    </row>
    <row r="4">
      <c r="A4" s="87" t="inlineStr">
        <is>
          <t># Requires: Python 3, NumPy, and openpyxl. No dedicated statistical package is used.</t>
        </is>
      </c>
    </row>
    <row r="5">
      <c r="A5" s="87" t="inlineStr">
        <is>
          <t># p values and 95% CIs use the t distribution with finite degrees of freedom (not a normal approximation).</t>
        </is>
      </c>
    </row>
    <row r="6">
      <c r="A6" s="87" t="inlineStr">
        <is>
          <t># 输入：本工作簿「跨国底稿」工作表，第 5-171 行，列 C=MMR、E=原始GDP、H=政治体制代码、K=CPR、L=CPR年份。</t>
        </is>
      </c>
    </row>
    <row r="7">
      <c r="A7" s="87" t="inlineStr">
        <is>
          <t>#       G 列 logGDP = LN(E)，N 列 log(MMR) = LN(C)，O/Q/R 列为派生虚拟变量（均为工作簿内公式）。</t>
        </is>
      </c>
    </row>
    <row r="8">
      <c r="A8" s="87" t="inlineStr">
        <is>
          <t># 输出：与「模型结果」「稳健性分析」「模型输出与HC3结果」三表逐位一致（误差量级 1e-10 以下）。</t>
        </is>
      </c>
    </row>
    <row r="9">
      <c r="A9" s="87" t="inlineStr">
        <is>
          <t>import numpy as np, openpyxl</t>
        </is>
      </c>
    </row>
    <row r="10">
      <c r="A10" s="87" t="inlineStr">
        <is>
          <t>from math import lgamma, exp, log</t>
        </is>
      </c>
    </row>
    <row r="11">
      <c r="A11" s="87" t="inlineStr">
        <is>
          <t># 自动定位同目录下的数据表工作簿（无需改名即可运行）</t>
        </is>
      </c>
    </row>
    <row r="12">
      <c r="A12" s="87" t="inlineStr">
        <is>
          <t>import glob as _glob, os as _os</t>
        </is>
      </c>
    </row>
    <row r="13">
      <c r="A13" s="87" t="inlineStr">
        <is>
          <t>_cand = _glob.glob(_os.path.join(_os.path.dirname(_os.path.abspath(__file__)) or ".", "*数据表*.xlsx"))</t>
        </is>
      </c>
    </row>
    <row r="14">
      <c r="A14" s="87" t="inlineStr">
        <is>
          <t>if not _cand:</t>
        </is>
      </c>
    </row>
    <row r="15">
      <c r="A15" s="87" t="inlineStr">
        <is>
          <t xml:space="preserve">    raise SystemExit("未找到数据表工作簿（文件名需含「数据表」且为 .xlsx）")</t>
        </is>
      </c>
    </row>
    <row r="16">
      <c r="A16" s="87" t="inlineStr">
        <is>
          <t>wb = openpyxl.load_workbook(_cand[0])</t>
        </is>
      </c>
    </row>
    <row r="17">
      <c r="A17" s="87" t="inlineStr">
        <is>
          <t>ws = wb["跨国底稿"]</t>
        </is>
      </c>
    </row>
    <row r="18">
      <c r="A18" s="87" t="inlineStr">
        <is>
          <t>rows = [r for r in ws.iter_rows(min_row=5, max_row=171, values_only=True) if r and r[0]]</t>
        </is>
      </c>
    </row>
    <row r="19">
      <c r="A19" s="87" t="inlineStr">
        <is>
          <t>D = [dict(mmr=float(r[2]), gdp=float(r[4]), code=r[7], cpr=r[10], cyear=r[11]) for r in rows]</t>
        </is>
      </c>
    </row>
    <row r="20">
      <c r="A20" s="87" t="inlineStr">
        <is>
          <t>def fmt_p(p):                         # 极小 p 值显示为 &lt;0.0001，不显示为 0</t>
        </is>
      </c>
    </row>
    <row r="21">
      <c r="A21" s="87" t="inlineStr">
        <is>
          <t xml:space="preserve">    return "&lt;0.0001" if p &lt; 1e-4 else f"{p:.4f}"</t>
        </is>
      </c>
    </row>
    <row r="22">
      <c r="A22" s="87" t="inlineStr"/>
    </row>
    <row r="23">
      <c r="A23" s="87" t="inlineStr">
        <is>
          <t>def t_p(t, df):                       # 双尾 p，正则化不完全 beta 函数</t>
        </is>
      </c>
    </row>
    <row r="24">
      <c r="A24" s="87" t="inlineStr">
        <is>
          <t xml:space="preserve">    x = df / (df + t * t); a, b = df / 2, 0.5</t>
        </is>
      </c>
    </row>
    <row r="25">
      <c r="A25" s="87" t="inlineStr">
        <is>
          <t xml:space="preserve">    def bcf(a, b, x, itmax=300, eps=3e-14):</t>
        </is>
      </c>
    </row>
    <row r="26">
      <c r="A26" s="87" t="inlineStr">
        <is>
          <t xml:space="preserve">        qab, qap, qam = a + b, a + 1, a - 1</t>
        </is>
      </c>
    </row>
    <row r="27">
      <c r="A27" s="87" t="inlineStr">
        <is>
          <t xml:space="preserve">        c = 1.0; d = 1 - qab * x / qap; d = 1 / d; h = d</t>
        </is>
      </c>
    </row>
    <row r="28">
      <c r="A28" s="87" t="inlineStr">
        <is>
          <t xml:space="preserve">        for m in range(1, itmax + 1):</t>
        </is>
      </c>
    </row>
    <row r="29">
      <c r="A29" s="87" t="inlineStr">
        <is>
          <t xml:space="preserve">            m2 = 2 * m</t>
        </is>
      </c>
    </row>
    <row r="30">
      <c r="A30" s="87" t="inlineStr">
        <is>
          <t xml:space="preserve">            aa = m * (b - m) * x / ((qam + m2) * (a + m2))</t>
        </is>
      </c>
    </row>
    <row r="31">
      <c r="A31" s="87" t="inlineStr">
        <is>
          <t xml:space="preserve">            d = 1 + aa * d; c = 1 + aa / c; d = 1 / d; h *= d * c</t>
        </is>
      </c>
    </row>
    <row r="32">
      <c r="A32" s="87" t="inlineStr">
        <is>
          <t xml:space="preserve">            aa = -(a + m) * (qab + m) * x / ((a + m2) * (qap + m2))</t>
        </is>
      </c>
    </row>
    <row r="33">
      <c r="A33" s="87" t="inlineStr">
        <is>
          <t xml:space="preserve">            d = 1 + aa * d; c = 1 + aa / c; d = 1 / d; de = d * c; h *= de</t>
        </is>
      </c>
    </row>
    <row r="34">
      <c r="A34" s="87" t="inlineStr">
        <is>
          <t xml:space="preserve">            if abs(de - 1) &lt; eps: break</t>
        </is>
      </c>
    </row>
    <row r="35">
      <c r="A35" s="87" t="inlineStr">
        <is>
          <t xml:space="preserve">        return h</t>
        </is>
      </c>
    </row>
    <row r="36">
      <c r="A36" s="87" t="inlineStr">
        <is>
          <t xml:space="preserve">    lb = lgamma(a) + lgamma(b) - lgamma(a + b)</t>
        </is>
      </c>
    </row>
    <row r="37">
      <c r="A37" s="87" t="inlineStr">
        <is>
          <t xml:space="preserve">    return (exp(a * log(x) + b * log(1 - x) - lb) * bcf(a, b, x) / a if x &lt; (a + 1) / (a + b + 2)</t>
        </is>
      </c>
    </row>
    <row r="38">
      <c r="A38" s="87" t="inlineStr">
        <is>
          <t xml:space="preserve">            else 1 - exp(b * log(1 - x) + a * log(x) - lb) * bcf(b, a, 1 - x) / b)</t>
        </is>
      </c>
    </row>
    <row r="39">
      <c r="A39" s="87" t="inlineStr">
        <is>
          <t>def ols(y, Xcols, names):</t>
        </is>
      </c>
    </row>
    <row r="40">
      <c r="A40" s="87" t="inlineStr">
        <is>
          <t xml:space="preserve">    n = len(y); X = np.column_stack([np.ones(n)] + Xcols); k = X.shape[1]</t>
        </is>
      </c>
    </row>
    <row r="41">
      <c r="A41" s="87" t="inlineStr">
        <is>
          <t xml:space="preserve">    XtXi = np.linalg.inv(X.T @ X); beta = XtXi @ X.T @ y</t>
        </is>
      </c>
    </row>
    <row r="42">
      <c r="A42" s="87" t="inlineStr">
        <is>
          <t xml:space="preserve">    e = y - X @ beta; dof = n - k</t>
        </is>
      </c>
    </row>
    <row r="43">
      <c r="A43" s="87" t="inlineStr">
        <is>
          <t xml:space="preserve">    se_ols = np.sqrt(np.diag((e @ e / dof) * XtXi))</t>
        </is>
      </c>
    </row>
    <row r="44">
      <c r="A44" s="87" t="inlineStr">
        <is>
          <t xml:space="preserve">    h = np.diag(X @ XtXi @ X.T)</t>
        </is>
      </c>
    </row>
    <row r="45">
      <c r="A45" s="87" t="inlineStr">
        <is>
          <t xml:space="preserve">    V = XtXi @ (X.T @ np.diag((e ** 2) / ((1 - h) ** 2)) @ X) @ XtXi      # HC3 三明治估计</t>
        </is>
      </c>
    </row>
    <row r="46">
      <c r="A46" s="87" t="inlineStr">
        <is>
          <t xml:space="preserve">    se_hc3 = np.sqrt(np.diag(V))</t>
        </is>
      </c>
    </row>
    <row r="47">
      <c r="A47" s="87" t="inlineStr">
        <is>
          <t xml:space="preserve">    r2 = 1 - (e @ e) / ((y - y.mean()) ** 2).sum()</t>
        </is>
      </c>
    </row>
    <row r="48">
      <c r="A48" s="87" t="inlineStr">
        <is>
          <t xml:space="preserve">    for i, nm in enumerate(names):</t>
        </is>
      </c>
    </row>
    <row r="49">
      <c r="A49" s="87" t="inlineStr">
        <is>
          <t xml:space="preserve">        print(f"{nm:10s} beta={beta[i]:9.4f} SE={se_ols[i]:8.4f} p={fmt_p(t_p(abs(beta[i]/se_ols[i]), dof)):&gt;8} "</t>
        </is>
      </c>
    </row>
    <row r="50">
      <c r="A50" s="87" t="inlineStr">
        <is>
          <t xml:space="preserve">              f"| HC3 SE={se_hc3[i]:8.4f} p={fmt_p(t_p(abs(beta[i]/se_hc3[i]), dof)):&gt;8}")</t>
        </is>
      </c>
    </row>
    <row r="51">
      <c r="A51" s="87" t="inlineStr">
        <is>
          <t xml:space="preserve">    print(f"n={n} dof={dof} R2={r2:.4f} adjR2={1-(1-r2)*(n-1)/dof:.4f}")</t>
        </is>
      </c>
    </row>
    <row r="52">
      <c r="A52" s="87" t="inlineStr">
        <is>
          <t>lg = lambda g: np.log(g)</t>
        </is>
      </c>
    </row>
    <row r="53">
      <c r="A53" s="87" t="inlineStr">
        <is>
          <t># M1 / M2：需要政治体制代码，故排除无统一 2023 值的 PSE（n=166）</t>
        </is>
      </c>
    </row>
    <row r="54">
      <c r="A54" s="87" t="inlineStr">
        <is>
          <t>D_c    = [d for d in D if d["code"] is not None]</t>
        </is>
      </c>
    </row>
    <row r="55">
      <c r="A55" s="87" t="inlineStr">
        <is>
          <t>code   = np.array([d["code"] for d in D_c], dtype=float)</t>
        </is>
      </c>
    </row>
    <row r="56">
      <c r="A56" s="87" t="inlineStr">
        <is>
          <t>lmmr_c = np.array([np.log(d["mmr"]) for d in D_c])</t>
        </is>
      </c>
    </row>
    <row r="57">
      <c r="A57" s="87" t="inlineStr">
        <is>
          <t>mmr_c  = np.array([d["mmr"] for d in D_c])</t>
        </is>
      </c>
    </row>
    <row r="58">
      <c r="A58" s="87" t="inlineStr">
        <is>
          <t>lgdp_c = np.array([lg(d["gdp"]) for d in D_c])</t>
        </is>
      </c>
    </row>
    <row r="59">
      <c r="A59" s="87" t="inlineStr">
        <is>
          <t>ols(lmmr_c, [code, lgdp_c], ["Intercept", "regime", "logGDP"])      # M1 主模型</t>
        </is>
      </c>
    </row>
    <row r="60">
      <c r="A60" s="87" t="inlineStr">
        <is>
          <t>ols(mmr_c,  [code, lgdp_c], ["Intercept", "regime", "logGDP"])      # M2 未取对数</t>
        </is>
      </c>
    </row>
    <row r="61">
      <c r="A61" s="87" t="inlineStr">
        <is>
          <t># M3 / M4 / M5：CPR 子样本（n=138；M5 限 2015-2023 后 n=109）</t>
        </is>
      </c>
    </row>
    <row r="62">
      <c r="A62" s="87" t="inlineStr">
        <is>
          <t>sub  = [d for d in D if d["cpr"] is not None and d["code"] is not None]</t>
        </is>
      </c>
    </row>
    <row r="63">
      <c r="A63" s="87" t="inlineStr">
        <is>
          <t>cpr  = np.array([d["cpr"] for d in sub])</t>
        </is>
      </c>
    </row>
    <row r="64">
      <c r="A64" s="87" t="inlineStr">
        <is>
          <t>c_cd = np.array([d["code"] for d in sub], dtype=float)</t>
        </is>
      </c>
    </row>
    <row r="65">
      <c r="A65" s="87" t="inlineStr">
        <is>
          <t>c_lg = np.array([lg(d["gdp"]) for d in sub])</t>
        </is>
      </c>
    </row>
    <row r="66">
      <c r="A66" s="87" t="inlineStr">
        <is>
          <t>ols(cpr, [c_cd, c_lg], ["Intercept", "regime", "logGDP"])                                  # M3 主模型</t>
        </is>
      </c>
    </row>
    <row r="67">
      <c r="A67" s="87" t="inlineStr">
        <is>
          <t>ols(cpr, [c_cd, c_lg, np.array([d["cyear"] for d in sub], dtype=float) - 2018],</t>
        </is>
      </c>
    </row>
    <row r="68">
      <c r="A68" s="87" t="inlineStr">
        <is>
          <t xml:space="preserve">         ["Intercept", "regime", "logGDP", "cpr_year_c"])                                  # M4 加观测年份</t>
        </is>
      </c>
    </row>
    <row r="69">
      <c r="A69" s="87" t="inlineStr">
        <is>
          <t>sub15 = [d for d in sub if d["cyear"] &gt;= 2015]</t>
        </is>
      </c>
    </row>
    <row r="70">
      <c r="A70" s="87" t="inlineStr">
        <is>
          <t>ols(np.array([d["cpr"] for d in sub15]),</t>
        </is>
      </c>
    </row>
    <row r="71">
      <c r="A71" s="87" t="inlineStr">
        <is>
          <t xml:space="preserve">    [np.array([d["code"] for d in sub15], dtype=float),</t>
        </is>
      </c>
    </row>
    <row r="72">
      <c r="A72" s="87" t="inlineStr">
        <is>
          <t xml:space="preserve">     np.array([lg(d["gdp"]) for d in sub15])],</t>
        </is>
      </c>
    </row>
    <row r="73">
      <c r="A73" s="87" t="inlineStr">
        <is>
          <t xml:space="preserve">    ["Intercept", "regime", "logGDP"])                                                     # M5 限制年份窗</t>
        </is>
      </c>
    </row>
    <row r="74">
      <c r="A74" s="87" t="inlineStr">
        <is>
          <t># M6 / M7：放松等距假设，改用三个虚拟变量（参照组 = 封闭独裁）</t>
        </is>
      </c>
    </row>
    <row r="75">
      <c r="A75" s="87" t="inlineStr">
        <is>
          <t>d1 = np.array([1.0 if d["code"] == 1 else 0.0 for d in D_c])</t>
        </is>
      </c>
    </row>
    <row r="76">
      <c r="A76" s="87" t="inlineStr">
        <is>
          <t>d2 = np.array([1.0 if d["code"] == 2 else 0.0 for d in D_c])</t>
        </is>
      </c>
    </row>
    <row r="77">
      <c r="A77" s="87" t="inlineStr">
        <is>
          <t>d3 = np.array([1.0 if d["code"] == 3 else 0.0 for d in D_c])</t>
        </is>
      </c>
    </row>
    <row r="78">
      <c r="A78" s="87" t="inlineStr">
        <is>
          <t>ols(lmmr_c, [d1, d2, d3, lgdp_c], ["Intercept", "regime_1", "regime_2", "regime_3", "logGDP"])  # M6</t>
        </is>
      </c>
    </row>
    <row r="79">
      <c r="A79" s="87" t="inlineStr">
        <is>
          <t>e1 = np.array([1.0 if d["code"] == 1 else 0.0 for d in sub])</t>
        </is>
      </c>
    </row>
    <row r="80">
      <c r="A80" s="87" t="inlineStr">
        <is>
          <t>e2 = np.array([1.0 if d["code"] == 2 else 0.0 for d in sub])</t>
        </is>
      </c>
    </row>
    <row r="81">
      <c r="A81" s="87" t="inlineStr">
        <is>
          <t>e3 = np.array([1.0 if d["code"] == 3 else 0.0 for d in sub])</t>
        </is>
      </c>
    </row>
    <row r="82">
      <c r="A82" s="87" t="inlineStr">
        <is>
          <t>ols(cpr, [e1, e2, e3, c_lg], ["Intercept", "regime_1", "regime_2", "regime_3", "logGDP"])      # M7</t>
        </is>
      </c>
    </row>
  </sheetData>
  <mergeCells count="1">
    <mergeCell ref="A2:H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2026-09-03T09:06:36Z</dcterms:created>
  <dcterms:modified xmlns:dcterms="http://purl.org/dc/terms/" xmlns:xsi="http://www.w3.org/2001/XMLSchema-instance" xsi:type="dcterms:W3CDTF">2026-09-07T11:26:56Z</dcterms:modified>
</cp:coreProperties>
</file>